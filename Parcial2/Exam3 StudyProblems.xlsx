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166925"/>
  <mc:AlternateContent xmlns:mc="http://schemas.openxmlformats.org/markup-compatibility/2006">
    <mc:Choice Requires="x15">
      <x15ac:absPath xmlns:x15ac="http://schemas.microsoft.com/office/spreadsheetml/2010/11/ac" url="/Users/ricardoibarra/Downloads/"/>
    </mc:Choice>
  </mc:AlternateContent>
  <xr:revisionPtr revIDLastSave="0" documentId="13_ncr:1_{4CD11373-556D-0242-B101-2E3673FFE0DA}" xr6:coauthVersionLast="47" xr6:coauthVersionMax="47" xr10:uidLastSave="{00000000-0000-0000-0000-000000000000}"/>
  <bookViews>
    <workbookView xWindow="0" yWindow="740" windowWidth="29040" windowHeight="15840" activeTab="6" xr2:uid="{6D80BE54-5ACB-4EBF-94DD-A34BCA848B6B}"/>
  </bookViews>
  <sheets>
    <sheet name="EX1" sheetId="1" r:id="rId1"/>
    <sheet name="Ejercicio 1" sheetId="6" r:id="rId2"/>
    <sheet name="EX2" sheetId="2" r:id="rId3"/>
    <sheet name="Ejercicio 2" sheetId="7" r:id="rId4"/>
    <sheet name="EX3" sheetId="3" r:id="rId5"/>
    <sheet name="EX4 EXCHANGE" sheetId="4" r:id="rId6"/>
    <sheet name="EX5 RENEWAL"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1" l="1"/>
  <c r="C22" i="1"/>
  <c r="B12" i="4"/>
  <c r="C11" i="4"/>
  <c r="B7" i="2"/>
  <c r="B11" i="2" s="1"/>
  <c r="M24" i="3"/>
  <c r="M23" i="3"/>
  <c r="B6" i="3"/>
  <c r="B10" i="3" s="1"/>
  <c r="M8" i="3" s="1"/>
  <c r="M9" i="3"/>
  <c r="M12" i="3"/>
  <c r="B11" i="3"/>
  <c r="B3" i="3"/>
  <c r="E4" i="7"/>
  <c r="E5" i="7"/>
  <c r="B12" i="7"/>
  <c r="B11" i="7"/>
  <c r="B12" i="2"/>
  <c r="D4" i="2"/>
  <c r="H4" i="2"/>
  <c r="G4" i="2"/>
  <c r="F4" i="2"/>
  <c r="E4" i="2"/>
  <c r="Q30" i="6"/>
  <c r="Q29" i="6"/>
  <c r="M22" i="6"/>
  <c r="I37" i="6"/>
  <c r="I36" i="6"/>
  <c r="I35" i="6"/>
  <c r="I34" i="6"/>
  <c r="I30" i="6"/>
  <c r="I29" i="6"/>
  <c r="E28" i="6"/>
  <c r="E26" i="6"/>
  <c r="F24" i="6"/>
  <c r="F23" i="6"/>
  <c r="F22" i="6"/>
  <c r="E22" i="6"/>
  <c r="E9" i="6"/>
  <c r="B4" i="6"/>
  <c r="M16" i="3" l="1"/>
  <c r="M18" i="3" s="1"/>
  <c r="M15" i="3"/>
  <c r="B7" i="3"/>
  <c r="M20" i="3" l="1"/>
  <c r="M19" i="3"/>
  <c r="M17" i="3"/>
  <c r="M22" i="3" s="1"/>
  <c r="N11" i="7" l="1"/>
  <c r="N15" i="7"/>
  <c r="N12" i="7"/>
  <c r="N26" i="7"/>
  <c r="N19" i="7" l="1"/>
  <c r="N18" i="7"/>
  <c r="N22" i="7" l="1"/>
  <c r="N20" i="7"/>
  <c r="N21" i="7"/>
  <c r="N23" i="7"/>
  <c r="N25" i="7" l="1"/>
  <c r="N27" i="7" s="1"/>
  <c r="H4" i="7"/>
  <c r="G4" i="7"/>
  <c r="F4" i="7"/>
  <c r="D4" i="7"/>
  <c r="C4" i="7"/>
  <c r="B15" i="7"/>
  <c r="H5" i="7"/>
  <c r="G5" i="7"/>
  <c r="F5" i="7"/>
  <c r="D5" i="7"/>
  <c r="C5" i="7"/>
  <c r="B5" i="7"/>
  <c r="B4" i="7"/>
  <c r="B7" i="7" s="1"/>
  <c r="C4" i="2"/>
  <c r="B4" i="2"/>
  <c r="C38" i="1"/>
  <c r="C37" i="1"/>
  <c r="B8" i="7" l="1"/>
  <c r="U28" i="6"/>
  <c r="E33" i="6" s="1"/>
  <c r="K32" i="1"/>
  <c r="K49" i="1" s="1"/>
  <c r="M28" i="6"/>
  <c r="K48" i="1"/>
  <c r="M19" i="6"/>
  <c r="Y33" i="6"/>
  <c r="Y32" i="6"/>
  <c r="Y30" i="6" s="1"/>
  <c r="Y29" i="6"/>
  <c r="Q33" i="6"/>
  <c r="Q32" i="6"/>
  <c r="I33" i="6"/>
  <c r="I32" i="6"/>
  <c r="E32" i="6"/>
  <c r="E31" i="6"/>
  <c r="M9" i="6"/>
  <c r="E19" i="6"/>
  <c r="K13" i="1"/>
  <c r="U9" i="6"/>
  <c r="C32" i="1"/>
  <c r="C41" i="1"/>
  <c r="S32" i="1"/>
  <c r="U19" i="6"/>
  <c r="Z17" i="6"/>
  <c r="Y17" i="6"/>
  <c r="X17" i="6"/>
  <c r="X26" i="6" s="1"/>
  <c r="W17" i="6"/>
  <c r="V17" i="6"/>
  <c r="U17" i="6"/>
  <c r="Z25" i="6"/>
  <c r="Y25" i="6"/>
  <c r="X25" i="6"/>
  <c r="W25" i="6"/>
  <c r="V25" i="6"/>
  <c r="U25" i="6"/>
  <c r="Z24" i="6"/>
  <c r="Y24" i="6"/>
  <c r="X24" i="6"/>
  <c r="W24" i="6"/>
  <c r="V24" i="6"/>
  <c r="U24" i="6"/>
  <c r="Z23" i="6"/>
  <c r="Y23" i="6"/>
  <c r="X23" i="6"/>
  <c r="W23" i="6"/>
  <c r="V23" i="6"/>
  <c r="U23" i="6"/>
  <c r="Z22" i="6"/>
  <c r="Y22" i="6"/>
  <c r="X22" i="6"/>
  <c r="W22" i="6"/>
  <c r="V22" i="6"/>
  <c r="U22" i="6"/>
  <c r="U18" i="6"/>
  <c r="Z26" i="6"/>
  <c r="Y26" i="6"/>
  <c r="V26" i="6"/>
  <c r="U8" i="6"/>
  <c r="M18" i="6"/>
  <c r="R17" i="6"/>
  <c r="Q17" i="6"/>
  <c r="P17" i="6"/>
  <c r="O17" i="6"/>
  <c r="O26" i="6" s="1"/>
  <c r="N17" i="6"/>
  <c r="M17" i="6"/>
  <c r="R26" i="6"/>
  <c r="Q26" i="6"/>
  <c r="P26" i="6"/>
  <c r="N26" i="6"/>
  <c r="M26" i="6"/>
  <c r="R25" i="6"/>
  <c r="Q25" i="6"/>
  <c r="P25" i="6"/>
  <c r="O25" i="6"/>
  <c r="N25" i="6"/>
  <c r="M25" i="6"/>
  <c r="R24" i="6"/>
  <c r="Q24" i="6"/>
  <c r="P24" i="6"/>
  <c r="O24" i="6"/>
  <c r="N24" i="6"/>
  <c r="M24" i="6"/>
  <c r="R23" i="6"/>
  <c r="Q23" i="6"/>
  <c r="P23" i="6"/>
  <c r="O23" i="6"/>
  <c r="N23" i="6"/>
  <c r="M23" i="6"/>
  <c r="R22" i="6"/>
  <c r="Q22" i="6"/>
  <c r="P22" i="6"/>
  <c r="O22" i="6"/>
  <c r="N22" i="6"/>
  <c r="M8" i="6"/>
  <c r="E18" i="6"/>
  <c r="E8" i="6"/>
  <c r="C31" i="1"/>
  <c r="E23" i="6"/>
  <c r="G23" i="6"/>
  <c r="H23" i="6"/>
  <c r="I23" i="6"/>
  <c r="J23" i="6"/>
  <c r="E24" i="6"/>
  <c r="G24" i="6"/>
  <c r="H24" i="6"/>
  <c r="I24" i="6"/>
  <c r="J24" i="6"/>
  <c r="E25" i="6"/>
  <c r="F25" i="6"/>
  <c r="G25" i="6"/>
  <c r="H25" i="6"/>
  <c r="I25" i="6"/>
  <c r="J25" i="6"/>
  <c r="E27" i="6"/>
  <c r="F26" i="6"/>
  <c r="G26" i="6"/>
  <c r="H26" i="6"/>
  <c r="I26" i="6"/>
  <c r="J26" i="6"/>
  <c r="G22" i="6"/>
  <c r="H22" i="6"/>
  <c r="I22" i="6"/>
  <c r="J22" i="6"/>
  <c r="H19" i="5"/>
  <c r="H18" i="5"/>
  <c r="H5" i="5"/>
  <c r="H6" i="5"/>
  <c r="H8" i="5"/>
  <c r="D18" i="5"/>
  <c r="D19" i="5"/>
  <c r="D20" i="5"/>
  <c r="D21" i="5"/>
  <c r="D22" i="5"/>
  <c r="C18" i="5"/>
  <c r="C19" i="5"/>
  <c r="C20" i="5"/>
  <c r="C21" i="5"/>
  <c r="C22" i="5"/>
  <c r="C23" i="5"/>
  <c r="D8" i="5"/>
  <c r="D9" i="5"/>
  <c r="D10" i="5"/>
  <c r="D11" i="5"/>
  <c r="D12" i="5"/>
  <c r="C8" i="5"/>
  <c r="C9" i="5"/>
  <c r="C10" i="5"/>
  <c r="C11" i="5"/>
  <c r="C12" i="5"/>
  <c r="G2" i="5"/>
  <c r="D6" i="5"/>
  <c r="D15" i="5"/>
  <c r="D14" i="5"/>
  <c r="D3" i="5"/>
  <c r="C25" i="5"/>
  <c r="C26" i="5"/>
  <c r="C27" i="5"/>
  <c r="C28" i="5"/>
  <c r="C24" i="5"/>
  <c r="C4" i="5"/>
  <c r="C5" i="5"/>
  <c r="C6" i="5"/>
  <c r="C7" i="5"/>
  <c r="C3" i="5"/>
  <c r="D31" i="5"/>
  <c r="D28" i="5"/>
  <c r="D27" i="5"/>
  <c r="D26" i="5"/>
  <c r="D25" i="5"/>
  <c r="D24" i="5"/>
  <c r="D23" i="5"/>
  <c r="D5" i="5"/>
  <c r="D4" i="5"/>
  <c r="D2" i="5"/>
  <c r="I5" i="4"/>
  <c r="B4" i="4"/>
  <c r="B3" i="4"/>
  <c r="H5" i="4"/>
  <c r="G6" i="4"/>
  <c r="G5" i="4"/>
  <c r="H8" i="4"/>
  <c r="B11" i="4"/>
  <c r="B18" i="7" l="1"/>
  <c r="B9" i="7"/>
  <c r="B26" i="7"/>
  <c r="Y34" i="6"/>
  <c r="Q34" i="6"/>
  <c r="W26" i="6"/>
  <c r="U26" i="6"/>
  <c r="M27" i="6"/>
  <c r="H10" i="5"/>
  <c r="H11" i="5" s="1"/>
  <c r="D29" i="5"/>
  <c r="D7" i="5"/>
  <c r="D13" i="5" s="1"/>
  <c r="H6" i="4"/>
  <c r="C3" i="4" s="1"/>
  <c r="C4" i="4"/>
  <c r="B19" i="7" l="1"/>
  <c r="B21" i="7" s="1"/>
  <c r="B22" i="7"/>
  <c r="B20" i="7"/>
  <c r="B23" i="7"/>
  <c r="Y36" i="6"/>
  <c r="Y35" i="6"/>
  <c r="Y38" i="6"/>
  <c r="Q35" i="6"/>
  <c r="Q38" i="6"/>
  <c r="Q36" i="6"/>
  <c r="I38" i="6"/>
  <c r="U27" i="6"/>
  <c r="H12" i="5"/>
  <c r="H14" i="5"/>
  <c r="H15" i="5"/>
  <c r="H13" i="5"/>
  <c r="H16" i="5" s="1"/>
  <c r="C12" i="4"/>
  <c r="B25" i="7" l="1"/>
  <c r="B27" i="7" s="1"/>
  <c r="Y37" i="6"/>
  <c r="Y40" i="6" s="1"/>
  <c r="Y39" i="6"/>
  <c r="Q37" i="6"/>
  <c r="Q40" i="6" s="1"/>
  <c r="Q39" i="6"/>
  <c r="I40" i="6"/>
  <c r="I39" i="6"/>
  <c r="C14" i="4"/>
  <c r="C13" i="4"/>
  <c r="C15" i="4" s="1"/>
  <c r="B14" i="4"/>
  <c r="B13" i="4"/>
  <c r="B15" i="4" s="1"/>
  <c r="E37" i="6" l="1"/>
  <c r="Q41" i="6"/>
  <c r="E42" i="6" s="1"/>
  <c r="E36" i="6"/>
  <c r="I41" i="6"/>
  <c r="E41" i="6" s="1"/>
  <c r="E38" i="6"/>
  <c r="Y41" i="6"/>
  <c r="E43" i="6" s="1"/>
  <c r="C16" i="4"/>
  <c r="B16" i="4"/>
  <c r="B14" i="3"/>
  <c r="C7" i="2"/>
  <c r="H5" i="2"/>
  <c r="C5" i="2"/>
  <c r="D5" i="2"/>
  <c r="E5" i="2"/>
  <c r="F5" i="2"/>
  <c r="G5" i="2"/>
  <c r="B5" i="2"/>
  <c r="B8" i="2" s="1"/>
  <c r="B9" i="2" l="1"/>
  <c r="B26" i="2" s="1"/>
  <c r="B17" i="3"/>
  <c r="B21" i="3" s="1"/>
  <c r="B25" i="3"/>
  <c r="B18" i="3"/>
  <c r="B20" i="3" s="1"/>
  <c r="B19" i="3" l="1"/>
  <c r="B22" i="3"/>
  <c r="B24" i="3"/>
  <c r="B26" i="3" s="1"/>
  <c r="B15" i="2" l="1"/>
  <c r="C8" i="2" s="1"/>
  <c r="B18" i="2" l="1"/>
  <c r="B19" i="2"/>
  <c r="B21" i="2" l="1"/>
  <c r="B23" i="2"/>
  <c r="B22" i="2"/>
  <c r="B20" i="2"/>
  <c r="B25" i="2" s="1"/>
  <c r="B27" i="2" s="1"/>
  <c r="T2" i="1" l="1"/>
  <c r="S40" i="1" s="1"/>
  <c r="L2" i="1"/>
  <c r="S26" i="1"/>
  <c r="U21" i="1"/>
  <c r="X29" i="1"/>
  <c r="W29" i="1"/>
  <c r="V29" i="1"/>
  <c r="U29" i="1"/>
  <c r="T29" i="1"/>
  <c r="S29" i="1"/>
  <c r="X28" i="1"/>
  <c r="W28" i="1"/>
  <c r="V28" i="1"/>
  <c r="U28" i="1"/>
  <c r="T28" i="1"/>
  <c r="S28" i="1"/>
  <c r="X27" i="1"/>
  <c r="W27" i="1"/>
  <c r="V27" i="1"/>
  <c r="U27" i="1"/>
  <c r="T27" i="1"/>
  <c r="S27" i="1"/>
  <c r="X26" i="1"/>
  <c r="W26" i="1"/>
  <c r="V26" i="1"/>
  <c r="U26" i="1"/>
  <c r="T26" i="1"/>
  <c r="X21" i="1"/>
  <c r="X30" i="1" s="1"/>
  <c r="W21" i="1"/>
  <c r="W30" i="1" s="1"/>
  <c r="V21" i="1"/>
  <c r="V30" i="1" s="1"/>
  <c r="T21" i="1"/>
  <c r="T30" i="1" s="1"/>
  <c r="S21" i="1"/>
  <c r="S30" i="1" s="1"/>
  <c r="S12" i="1"/>
  <c r="K29" i="1"/>
  <c r="C30" i="1"/>
  <c r="K28" i="1"/>
  <c r="M26" i="1"/>
  <c r="L26" i="1"/>
  <c r="K26" i="1"/>
  <c r="L21" i="1"/>
  <c r="L30" i="1" s="1"/>
  <c r="M21" i="1"/>
  <c r="M30" i="1" s="1"/>
  <c r="N21" i="1"/>
  <c r="N30" i="1" s="1"/>
  <c r="O21" i="1"/>
  <c r="O30" i="1" s="1"/>
  <c r="P21" i="1"/>
  <c r="K21" i="1"/>
  <c r="K30" i="1" s="1"/>
  <c r="K38" i="1" s="1"/>
  <c r="P30" i="1"/>
  <c r="P29" i="1"/>
  <c r="O29" i="1"/>
  <c r="N29" i="1"/>
  <c r="M29" i="1"/>
  <c r="L29" i="1"/>
  <c r="P28" i="1"/>
  <c r="O28" i="1"/>
  <c r="N28" i="1"/>
  <c r="M28" i="1"/>
  <c r="L28" i="1"/>
  <c r="P27" i="1"/>
  <c r="O27" i="1"/>
  <c r="N27" i="1"/>
  <c r="M27" i="1"/>
  <c r="L27" i="1"/>
  <c r="K27" i="1"/>
  <c r="P26" i="1"/>
  <c r="O26" i="1"/>
  <c r="N26" i="1"/>
  <c r="K12" i="1"/>
  <c r="K40" i="1" l="1"/>
  <c r="K37" i="1"/>
  <c r="S13" i="1"/>
  <c r="S23" i="1"/>
  <c r="S22" i="1"/>
  <c r="S38" i="1"/>
  <c r="U30" i="1"/>
  <c r="S37" i="1" s="1"/>
  <c r="K31" i="1"/>
  <c r="K23" i="1"/>
  <c r="S31" i="1" l="1"/>
  <c r="S42" i="1"/>
  <c r="K42" i="1"/>
  <c r="S44" i="1" l="1"/>
  <c r="S46" i="1"/>
  <c r="S43" i="1"/>
  <c r="K44" i="1"/>
  <c r="K43" i="1"/>
  <c r="K46" i="1"/>
  <c r="H30" i="1"/>
  <c r="G30" i="1"/>
  <c r="F30" i="1"/>
  <c r="E30" i="1"/>
  <c r="D30" i="1"/>
  <c r="H29" i="1"/>
  <c r="G29" i="1"/>
  <c r="F29" i="1"/>
  <c r="E29" i="1"/>
  <c r="D29" i="1"/>
  <c r="C29" i="1"/>
  <c r="H28" i="1"/>
  <c r="G28" i="1"/>
  <c r="F28" i="1"/>
  <c r="E28" i="1"/>
  <c r="D28" i="1"/>
  <c r="C28" i="1"/>
  <c r="H27" i="1"/>
  <c r="G27" i="1"/>
  <c r="F27" i="1"/>
  <c r="E27" i="1"/>
  <c r="D27" i="1"/>
  <c r="C27" i="1"/>
  <c r="H26" i="1"/>
  <c r="G26" i="1"/>
  <c r="F26" i="1"/>
  <c r="E26" i="1"/>
  <c r="D26" i="1"/>
  <c r="C26" i="1"/>
  <c r="C12" i="1"/>
  <c r="D2" i="1"/>
  <c r="C40" i="1" l="1"/>
  <c r="C23" i="1"/>
  <c r="C13" i="1"/>
  <c r="S45" i="1"/>
  <c r="S47" i="1"/>
  <c r="K45" i="1"/>
  <c r="K47" i="1"/>
  <c r="C42" i="1" l="1"/>
  <c r="C44" i="1" s="1"/>
  <c r="S48" i="1"/>
  <c r="S49" i="1" s="1"/>
  <c r="C43" i="1" l="1"/>
  <c r="C47" i="1" s="1"/>
  <c r="C46" i="1"/>
  <c r="C45" i="1" l="1"/>
  <c r="C48" i="1" s="1"/>
  <c r="C49" i="1" s="1"/>
</calcChain>
</file>

<file path=xl/sharedStrings.xml><?xml version="1.0" encoding="utf-8"?>
<sst xmlns="http://schemas.openxmlformats.org/spreadsheetml/2006/main" count="469" uniqueCount="123">
  <si>
    <t>Investment</t>
  </si>
  <si>
    <t>CURRENT</t>
  </si>
  <si>
    <t xml:space="preserve">Revenue </t>
  </si>
  <si>
    <t xml:space="preserve">Operating cost </t>
  </si>
  <si>
    <t xml:space="preserve">Available Capital </t>
  </si>
  <si>
    <t xml:space="preserve">NET </t>
  </si>
  <si>
    <t xml:space="preserve">Investment </t>
  </si>
  <si>
    <t>PROJECT 1</t>
  </si>
  <si>
    <t>r</t>
  </si>
  <si>
    <t>IRR</t>
  </si>
  <si>
    <t>NPV</t>
  </si>
  <si>
    <t>sigma</t>
  </si>
  <si>
    <t>Diff Project 1</t>
  </si>
  <si>
    <t>No conviene invertir en el proyecto 1</t>
  </si>
  <si>
    <t>Call</t>
  </si>
  <si>
    <t>So</t>
  </si>
  <si>
    <t>K</t>
  </si>
  <si>
    <t>T</t>
  </si>
  <si>
    <t>r cont</t>
  </si>
  <si>
    <t>d1</t>
  </si>
  <si>
    <t>d2</t>
  </si>
  <si>
    <t>N(d1)</t>
  </si>
  <si>
    <t>N(d2)</t>
  </si>
  <si>
    <t>N(-d1)</t>
  </si>
  <si>
    <t>N(-d2)</t>
  </si>
  <si>
    <t>Option</t>
  </si>
  <si>
    <t>periodica</t>
  </si>
  <si>
    <t>continua</t>
  </si>
  <si>
    <t>Project Value</t>
  </si>
  <si>
    <t>cual es el valor de la opcion</t>
  </si>
  <si>
    <t>cua es el valor del proyecto del enfoque del proyecto</t>
  </si>
  <si>
    <t>cuanto ganaria o perderia si hago el proyecto 1 en valor rpesente neto</t>
  </si>
  <si>
    <t>cal es el valor de la difusion</t>
  </si>
  <si>
    <t>que valor de k o que valor de sigma hacen que el proyecto sea rentable, o que el project value sea especificamente cero</t>
  </si>
  <si>
    <t>cual es el valor del proyecto con enfoque de proyectos opciones reales</t>
  </si>
  <si>
    <t>PROJECT 2</t>
  </si>
  <si>
    <t>Diff Project 2</t>
  </si>
  <si>
    <t>PROJECT 3</t>
  </si>
  <si>
    <t>K en T</t>
  </si>
  <si>
    <t>en tiempo de maduracion T</t>
  </si>
  <si>
    <t>r periodica</t>
  </si>
  <si>
    <t>r continua</t>
  </si>
  <si>
    <t>Cash</t>
  </si>
  <si>
    <t>VPN</t>
  </si>
  <si>
    <t>Project</t>
  </si>
  <si>
    <t>S</t>
  </si>
  <si>
    <t xml:space="preserve">K   </t>
  </si>
  <si>
    <t>S  en VP t=0</t>
  </si>
  <si>
    <t>K en VP t=0</t>
  </si>
  <si>
    <t>FORMULA</t>
  </si>
  <si>
    <t>EXCEL</t>
  </si>
  <si>
    <t>St en t=0</t>
  </si>
  <si>
    <t>K en t=0</t>
  </si>
  <si>
    <t>NPV1</t>
  </si>
  <si>
    <t>NPV2</t>
  </si>
  <si>
    <t>NPV TOTAL</t>
  </si>
  <si>
    <t>MARGRABE EXCHANGE</t>
  </si>
  <si>
    <t>St</t>
  </si>
  <si>
    <t>C  en t=0</t>
  </si>
  <si>
    <t>S1 yield q1</t>
  </si>
  <si>
    <t>S2 yield q2</t>
  </si>
  <si>
    <t>Sigma S1</t>
  </si>
  <si>
    <t>C en T=1</t>
  </si>
  <si>
    <t>Sigma S2</t>
  </si>
  <si>
    <t xml:space="preserve">CORRELATION </t>
  </si>
  <si>
    <t>SPREAD VOLATILITY</t>
  </si>
  <si>
    <t>S1 (FE)</t>
  </si>
  <si>
    <t>S2 (DS)</t>
  </si>
  <si>
    <t>DS a FE</t>
  </si>
  <si>
    <t>FE a DS</t>
  </si>
  <si>
    <t>FE</t>
  </si>
  <si>
    <t>DS</t>
  </si>
  <si>
    <t>a) I would change and study Data Scientist</t>
  </si>
  <si>
    <t>b)</t>
  </si>
  <si>
    <t>b) I would pay $0.5238M for the extra courses</t>
  </si>
  <si>
    <t>year</t>
  </si>
  <si>
    <t>Flow</t>
  </si>
  <si>
    <t>Present t=0</t>
  </si>
  <si>
    <t>drift</t>
  </si>
  <si>
    <t>NPV Excel</t>
  </si>
  <si>
    <t>PV</t>
  </si>
  <si>
    <t>year to  move in the future</t>
  </si>
  <si>
    <t>Future T=5</t>
  </si>
  <si>
    <t>St*N(d1)</t>
  </si>
  <si>
    <t>NFV</t>
  </si>
  <si>
    <t>NFV Excel</t>
  </si>
  <si>
    <t>NA</t>
  </si>
  <si>
    <t>FV</t>
  </si>
  <si>
    <t>rate continuos</t>
  </si>
  <si>
    <t>Tasa Periodica</t>
  </si>
  <si>
    <t>decays</t>
  </si>
  <si>
    <t>DIF PROJECT 1</t>
  </si>
  <si>
    <t>RF PERIODICO</t>
  </si>
  <si>
    <t>VARIATION P1</t>
  </si>
  <si>
    <t>VARIATION P2</t>
  </si>
  <si>
    <t>VARIATION P3</t>
  </si>
  <si>
    <t>TIR</t>
  </si>
  <si>
    <t>RF CONTINUA</t>
  </si>
  <si>
    <t>DIF PROJECT 2</t>
  </si>
  <si>
    <t>DIF PROJECT 3</t>
  </si>
  <si>
    <t>SCENARIO 1</t>
  </si>
  <si>
    <t>SCENARIO 2</t>
  </si>
  <si>
    <t>SCENARIO 3</t>
  </si>
  <si>
    <t>a)</t>
  </si>
  <si>
    <t>VALUE OPTIONS</t>
  </si>
  <si>
    <t>VALUE PROJECT</t>
  </si>
  <si>
    <t>c)</t>
  </si>
  <si>
    <t>d)</t>
  </si>
  <si>
    <t>We would invest in the project 3, because is the only scenario where the project value is winning</t>
  </si>
  <si>
    <t>fulcutaicon</t>
  </si>
  <si>
    <t xml:space="preserve">Como el VPN se muestra negativo -$47.46M esto significa que el proyecto no es rentable y por lo tanto, la oferta del autor de $20M es demasiado alta. </t>
  </si>
  <si>
    <t>tiempo restante hasta finalizacion de la segunda parte del libro</t>
  </si>
  <si>
    <t xml:space="preserve">b) </t>
  </si>
  <si>
    <t>El fair value del proyecto seria de $29.73M de dolares para el copyright del projecto</t>
  </si>
  <si>
    <t>Para hacer el proyecto en opciones reales mas rentable se podria tomar un 53% en volatilidad o tener un costo de$ 148.49</t>
  </si>
  <si>
    <t>Se multiplica el premium y se le agregan los costos legales</t>
  </si>
  <si>
    <t>PREMIUM</t>
  </si>
  <si>
    <t>fluctuacion</t>
  </si>
  <si>
    <t xml:space="preserve">Como el VPN se muestra negativo -$51.51M esto significa que el proyecto no es rentable y por lo tanto, la oferta del autor de $20M es demasiado alta. </t>
  </si>
  <si>
    <t>LEGAL COST</t>
  </si>
  <si>
    <t>SALES</t>
  </si>
  <si>
    <t>en año 10</t>
  </si>
  <si>
    <t>MAXIMUM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</si>
</sst>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Red]\-&quot;$&quot;#,##0.00"/>
    <numFmt numFmtId="44" formatCode="_-&quot;$&quot;* #,##0.00_-;\-&quot;$&quot;* #,##0.00_-;_-&quot;$&quot;* &quot;-&quot;??_-;_-@_-"/>
    <numFmt numFmtId="43" formatCode="_-* #,##0.00_-;\-* #,##0.00_-;_-* &quot;-&quot;??_-;_-@_-"/>
    <numFmt numFmtId="164" formatCode="_(&quot;$&quot;* #,##0.00_);_(&quot;$&quot;* \(#,##0.00\);_(&quot;$&quot;* &quot;-&quot;??_);_(@_)"/>
    <numFmt numFmtId="165" formatCode="_(&quot;$&quot;* #,##0.0000_);_(&quot;$&quot;* \(#,##0.0000\);_(&quot;$&quot;* &quot;-&quot;??_);_(@_)"/>
    <numFmt numFmtId="166" formatCode="0.000000"/>
    <numFmt numFmtId="167" formatCode="_(&quot;$&quot;* #,##0.000_);_(&quot;$&quot;* \(#,##0.000\);_(&quot;$&quot;* &quot;-&quot;??_);_(@_)"/>
    <numFmt numFmtId="168" formatCode="_-&quot;$&quot;* #,##0.0000_-;\-&quot;$&quot;* #,##0.0000_-;_-&quot;$&quot;* &quot;-&quot;??_-;_-@_-"/>
    <numFmt numFmtId="169" formatCode="0.000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b/>
      <sz val="12"/>
      <name val="Arial"/>
      <family val="2"/>
    </font>
    <font>
      <sz val="10"/>
      <name val="Arial"/>
      <family val="2"/>
    </font>
    <font>
      <sz val="11"/>
      <color theme="1" tint="4.9989318521683403E-2"/>
      <name val="Calibri"/>
      <family val="2"/>
      <scheme val="minor"/>
    </font>
  </fonts>
  <fills count="12">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9"/>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right/>
      <top/>
      <bottom style="double">
        <color indexed="64"/>
      </bottom>
      <diagonal/>
    </border>
    <border>
      <left/>
      <right/>
      <top/>
      <bottom style="medium">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85">
    <xf numFmtId="0" fontId="0" fillId="0" borderId="0" xfId="0"/>
    <xf numFmtId="9" fontId="0" fillId="0" borderId="0" xfId="0" applyNumberFormat="1"/>
    <xf numFmtId="10" fontId="0" fillId="0" borderId="0" xfId="2" applyNumberFormat="1" applyFont="1"/>
    <xf numFmtId="0" fontId="2" fillId="0" borderId="0" xfId="0" applyFont="1"/>
    <xf numFmtId="8" fontId="0" fillId="0" borderId="0" xfId="0" applyNumberFormat="1"/>
    <xf numFmtId="0" fontId="2" fillId="0" borderId="0" xfId="0" applyFont="1" applyAlignment="1">
      <alignment horizontal="center"/>
    </xf>
    <xf numFmtId="0" fontId="2" fillId="2" borderId="1" xfId="0" applyFont="1" applyFill="1" applyBorder="1"/>
    <xf numFmtId="165" fontId="0" fillId="0" borderId="1" xfId="1" applyNumberFormat="1" applyFont="1" applyBorder="1"/>
    <xf numFmtId="164" fontId="0" fillId="0" borderId="1" xfId="0" applyNumberFormat="1" applyBorder="1"/>
    <xf numFmtId="0" fontId="0" fillId="0" borderId="1" xfId="0" applyBorder="1"/>
    <xf numFmtId="10" fontId="0" fillId="0" borderId="1" xfId="0" applyNumberFormat="1" applyBorder="1"/>
    <xf numFmtId="9" fontId="0" fillId="0" borderId="1" xfId="2" applyFont="1" applyBorder="1"/>
    <xf numFmtId="0" fontId="0" fillId="3" borderId="1" xfId="0" applyFill="1" applyBorder="1"/>
    <xf numFmtId="0" fontId="0" fillId="4" borderId="1" xfId="0" applyFill="1" applyBorder="1"/>
    <xf numFmtId="166" fontId="0" fillId="0" borderId="1" xfId="0" applyNumberFormat="1" applyBorder="1"/>
    <xf numFmtId="167" fontId="0" fillId="0" borderId="0" xfId="0" applyNumberFormat="1"/>
    <xf numFmtId="0" fontId="0" fillId="4" borderId="0" xfId="0" applyFill="1"/>
    <xf numFmtId="10" fontId="0" fillId="0" borderId="1" xfId="2" applyNumberFormat="1" applyFont="1" applyBorder="1"/>
    <xf numFmtId="0" fontId="2" fillId="3" borderId="0" xfId="0" applyFont="1" applyFill="1"/>
    <xf numFmtId="8" fontId="2" fillId="3" borderId="0" xfId="0" applyNumberFormat="1" applyFont="1" applyFill="1"/>
    <xf numFmtId="167" fontId="2" fillId="3" borderId="0" xfId="0" applyNumberFormat="1" applyFont="1" applyFill="1"/>
    <xf numFmtId="0" fontId="0" fillId="5" borderId="0" xfId="0" applyFill="1"/>
    <xf numFmtId="44" fontId="0" fillId="5" borderId="0" xfId="0" applyNumberFormat="1" applyFill="1"/>
    <xf numFmtId="44" fontId="0" fillId="5" borderId="0" xfId="1" applyFont="1" applyFill="1"/>
    <xf numFmtId="9" fontId="0" fillId="5" borderId="0" xfId="2" applyFont="1" applyFill="1"/>
    <xf numFmtId="10" fontId="0" fillId="5" borderId="0" xfId="0" applyNumberFormat="1" applyFill="1"/>
    <xf numFmtId="0" fontId="0" fillId="5" borderId="0" xfId="0" quotePrefix="1" applyFill="1"/>
    <xf numFmtId="168" fontId="0" fillId="5" borderId="0" xfId="1" applyNumberFormat="1" applyFont="1" applyFill="1"/>
    <xf numFmtId="0" fontId="0" fillId="5" borderId="1" xfId="0" applyFill="1" applyBorder="1"/>
    <xf numFmtId="8" fontId="0" fillId="5" borderId="0" xfId="0" applyNumberFormat="1" applyFill="1"/>
    <xf numFmtId="2" fontId="0" fillId="5" borderId="0" xfId="0" applyNumberFormat="1" applyFill="1"/>
    <xf numFmtId="0" fontId="5" fillId="0" borderId="2" xfId="0" applyFont="1" applyBorder="1" applyAlignment="1">
      <alignment horizontal="centerContinuous"/>
    </xf>
    <xf numFmtId="0" fontId="5" fillId="0" borderId="3" xfId="0" applyFont="1" applyBorder="1" applyAlignment="1">
      <alignment horizontal="centerContinuous"/>
    </xf>
    <xf numFmtId="0" fontId="6" fillId="0" borderId="4" xfId="0" applyFont="1" applyBorder="1"/>
    <xf numFmtId="44" fontId="0" fillId="0" borderId="1" xfId="1" applyFont="1" applyBorder="1"/>
    <xf numFmtId="0" fontId="2" fillId="6" borderId="1" xfId="0" applyFont="1" applyFill="1" applyBorder="1"/>
    <xf numFmtId="0" fontId="2" fillId="4" borderId="1" xfId="0" applyFont="1" applyFill="1" applyBorder="1"/>
    <xf numFmtId="0" fontId="2" fillId="5" borderId="0" xfId="0" applyFont="1" applyFill="1"/>
    <xf numFmtId="8" fontId="0" fillId="0" borderId="1" xfId="1" applyNumberFormat="1" applyFont="1" applyBorder="1"/>
    <xf numFmtId="0" fontId="4" fillId="0" borderId="0" xfId="0" applyFont="1"/>
    <xf numFmtId="0" fontId="3" fillId="7" borderId="1" xfId="0" applyFont="1" applyFill="1" applyBorder="1" applyAlignment="1">
      <alignment horizontal="center"/>
    </xf>
    <xf numFmtId="0" fontId="2" fillId="3" borderId="1" xfId="0" applyFont="1" applyFill="1" applyBorder="1" applyAlignment="1">
      <alignment horizontal="center"/>
    </xf>
    <xf numFmtId="43" fontId="2" fillId="3" borderId="1" xfId="3" applyFont="1" applyFill="1" applyBorder="1" applyAlignment="1">
      <alignment horizontal="center"/>
    </xf>
    <xf numFmtId="0" fontId="2" fillId="0" borderId="1" xfId="0" applyFont="1" applyBorder="1"/>
    <xf numFmtId="9" fontId="2" fillId="0" borderId="1" xfId="0" applyNumberFormat="1" applyFont="1" applyBorder="1"/>
    <xf numFmtId="0" fontId="2" fillId="0" borderId="1" xfId="0" applyFont="1" applyBorder="1" applyAlignment="1">
      <alignment horizontal="center"/>
    </xf>
    <xf numFmtId="0" fontId="0" fillId="0" borderId="1" xfId="0" applyBorder="1" applyAlignment="1">
      <alignment horizontal="center"/>
    </xf>
    <xf numFmtId="43" fontId="0" fillId="0" borderId="1" xfId="3" applyFont="1" applyBorder="1" applyAlignment="1">
      <alignment horizontal="center"/>
    </xf>
    <xf numFmtId="44" fontId="0" fillId="0" borderId="0" xfId="1" applyFont="1"/>
    <xf numFmtId="44" fontId="2" fillId="8" borderId="1" xfId="1" applyFont="1" applyFill="1" applyBorder="1"/>
    <xf numFmtId="10" fontId="0" fillId="0" borderId="0" xfId="0" applyNumberFormat="1"/>
    <xf numFmtId="0" fontId="3"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43" fontId="2" fillId="10" borderId="1" xfId="3" applyFont="1" applyFill="1" applyBorder="1" applyAlignment="1">
      <alignment horizontal="center" vertical="center"/>
    </xf>
    <xf numFmtId="44" fontId="0" fillId="0" borderId="0" xfId="0" applyNumberFormat="1"/>
    <xf numFmtId="44" fontId="2" fillId="11" borderId="1" xfId="1" applyFont="1" applyFill="1" applyBorder="1"/>
    <xf numFmtId="169" fontId="0" fillId="0" borderId="0" xfId="0" applyNumberFormat="1"/>
    <xf numFmtId="0" fontId="2" fillId="0" borderId="5" xfId="0" applyFont="1" applyBorder="1" applyAlignment="1">
      <alignment horizontal="center"/>
    </xf>
    <xf numFmtId="44" fontId="0" fillId="0" borderId="1" xfId="1" applyFont="1" applyBorder="1" applyAlignment="1">
      <alignment horizontal="center"/>
    </xf>
    <xf numFmtId="0" fontId="2" fillId="0" borderId="6" xfId="0" applyFont="1" applyBorder="1"/>
    <xf numFmtId="0" fontId="0" fillId="0" borderId="6" xfId="0" applyBorder="1"/>
    <xf numFmtId="9" fontId="0" fillId="0" borderId="1" xfId="0" applyNumberFormat="1" applyBorder="1"/>
    <xf numFmtId="8" fontId="0" fillId="0" borderId="1" xfId="0" applyNumberFormat="1" applyBorder="1"/>
    <xf numFmtId="0" fontId="0" fillId="0" borderId="7" xfId="0" applyBorder="1"/>
    <xf numFmtId="9" fontId="0" fillId="0" borderId="7" xfId="0" applyNumberFormat="1" applyBorder="1"/>
    <xf numFmtId="8" fontId="0" fillId="0" borderId="7" xfId="0" applyNumberFormat="1" applyBorder="1"/>
    <xf numFmtId="10" fontId="0" fillId="0" borderId="7" xfId="0" applyNumberFormat="1" applyBorder="1"/>
    <xf numFmtId="8" fontId="2" fillId="0" borderId="0" xfId="0" applyNumberFormat="1" applyFont="1"/>
    <xf numFmtId="167" fontId="2" fillId="0" borderId="0" xfId="0" applyNumberFormat="1" applyFont="1"/>
    <xf numFmtId="9" fontId="0" fillId="5" borderId="0" xfId="0" applyNumberFormat="1" applyFill="1"/>
    <xf numFmtId="0" fontId="0" fillId="5" borderId="9" xfId="0" applyFill="1" applyBorder="1"/>
    <xf numFmtId="44" fontId="0" fillId="5" borderId="9" xfId="1" applyFont="1" applyFill="1" applyBorder="1"/>
    <xf numFmtId="0" fontId="0" fillId="5" borderId="10" xfId="0" applyFill="1" applyBorder="1"/>
    <xf numFmtId="44" fontId="0" fillId="5" borderId="10" xfId="0" applyNumberFormat="1" applyFill="1" applyBorder="1"/>
    <xf numFmtId="44" fontId="7" fillId="5" borderId="9" xfId="1" applyFont="1" applyFill="1" applyBorder="1"/>
    <xf numFmtId="44" fontId="0" fillId="5" borderId="0" xfId="1" applyFont="1" applyFill="1" applyBorder="1"/>
    <xf numFmtId="44" fontId="0" fillId="5" borderId="0" xfId="2" applyNumberFormat="1" applyFont="1" applyFill="1" applyBorder="1"/>
    <xf numFmtId="168" fontId="0" fillId="5" borderId="0" xfId="1" applyNumberFormat="1" applyFont="1" applyFill="1" applyBorder="1"/>
    <xf numFmtId="0" fontId="0" fillId="0" borderId="0" xfId="0"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top" wrapText="1"/>
    </xf>
    <xf numFmtId="0" fontId="2" fillId="5" borderId="0" xfId="0" applyFont="1" applyFill="1" applyAlignment="1">
      <alignment horizontal="left" vertical="top" wrapText="1"/>
    </xf>
    <xf numFmtId="0" fontId="0" fillId="5" borderId="0" xfId="0" applyFill="1" applyAlignment="1">
      <alignment horizontal="center" wrapText="1"/>
    </xf>
    <xf numFmtId="0" fontId="0" fillId="5" borderId="8" xfId="0" applyFill="1" applyBorder="1" applyAlignment="1">
      <alignment horizontal="center" wrapText="1"/>
    </xf>
    <xf numFmtId="0" fontId="0" fillId="5" borderId="0" xfId="0" applyFill="1" applyAlignment="1">
      <alignment horizontal="center"/>
    </xf>
  </cellXfs>
  <cellStyles count="4">
    <cellStyle name="Millares" xfId="3" builtinId="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419100</xdr:colOff>
      <xdr:row>52</xdr:row>
      <xdr:rowOff>139700</xdr:rowOff>
    </xdr:from>
    <xdr:to>
      <xdr:col>8</xdr:col>
      <xdr:colOff>431800</xdr:colOff>
      <xdr:row>98</xdr:row>
      <xdr:rowOff>45478</xdr:rowOff>
    </xdr:to>
    <xdr:pic>
      <xdr:nvPicPr>
        <xdr:cNvPr id="2" name="Imagen 1">
          <a:extLst>
            <a:ext uri="{FF2B5EF4-FFF2-40B4-BE49-F238E27FC236}">
              <a16:creationId xmlns:a16="http://schemas.microsoft.com/office/drawing/2014/main" id="{8DBCB247-7F9F-AAB6-92EB-78203CF4988D}"/>
            </a:ext>
          </a:extLst>
        </xdr:cNvPr>
        <xdr:cNvPicPr>
          <a:picLocks noChangeAspect="1"/>
        </xdr:cNvPicPr>
      </xdr:nvPicPr>
      <xdr:blipFill>
        <a:blip xmlns:r="http://schemas.openxmlformats.org/officeDocument/2006/relationships" r:embed="rId1"/>
        <a:stretch>
          <a:fillRect/>
        </a:stretch>
      </xdr:blipFill>
      <xdr:spPr>
        <a:xfrm>
          <a:off x="419100" y="10045700"/>
          <a:ext cx="7772400" cy="86687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285750</xdr:colOff>
      <xdr:row>6</xdr:row>
      <xdr:rowOff>19049</xdr:rowOff>
    </xdr:from>
    <xdr:to>
      <xdr:col>10</xdr:col>
      <xdr:colOff>552450</xdr:colOff>
      <xdr:row>20</xdr:row>
      <xdr:rowOff>9524</xdr:rowOff>
    </xdr:to>
    <xdr:sp macro="" textlink="">
      <xdr:nvSpPr>
        <xdr:cNvPr id="2" name="CuadroTexto 1">
          <a:extLst>
            <a:ext uri="{FF2B5EF4-FFF2-40B4-BE49-F238E27FC236}">
              <a16:creationId xmlns:a16="http://schemas.microsoft.com/office/drawing/2014/main" id="{82EC600B-4EE7-A40A-6139-15B531FD7AD5}"/>
            </a:ext>
          </a:extLst>
        </xdr:cNvPr>
        <xdr:cNvSpPr txBox="1"/>
      </xdr:nvSpPr>
      <xdr:spPr>
        <a:xfrm>
          <a:off x="3333750" y="1162049"/>
          <a:ext cx="4838700" cy="2657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0" i="0" u="none" strike="noStrike" baseline="0">
              <a:solidFill>
                <a:schemeClr val="dk1"/>
              </a:solidFill>
              <a:latin typeface="+mn-lt"/>
              <a:ea typeface="+mn-ea"/>
              <a:cs typeface="+mn-cs"/>
            </a:rPr>
            <a:t>2. NPV and Real Options II</a:t>
          </a:r>
        </a:p>
        <a:p>
          <a:r>
            <a:rPr lang="es-MX" sz="1100" b="0" i="0" u="none" strike="noStrike" baseline="0">
              <a:solidFill>
                <a:schemeClr val="dk1"/>
              </a:solidFill>
              <a:latin typeface="+mn-lt"/>
              <a:ea typeface="+mn-ea"/>
              <a:cs typeface="+mn-cs"/>
            </a:rPr>
            <a:t>A new writer as published the first book of a series of two. The book is currently a best-seller, however there are doubts that the second part would be as good as the first one. The second part will be completed in 3 years. The author offers the copyrights in $20M. DC and Marvel are evaluating to buy in advance right of the story. They cannot produce the movie until the second part of the book is completed.</a:t>
          </a:r>
        </a:p>
        <a:p>
          <a:r>
            <a:rPr lang="es-MX" sz="1100" b="0" i="0" u="none" strike="noStrike" baseline="0">
              <a:solidFill>
                <a:schemeClr val="dk1"/>
              </a:solidFill>
              <a:latin typeface="+mn-lt"/>
              <a:ea typeface="+mn-ea"/>
              <a:cs typeface="+mn-cs"/>
            </a:rPr>
            <a:t>The current cash flow estimation if the movie is produced today is $100M the first year (at the end) and the $20M for the next 5 years with a fluctuation of 90%. The estimated cost of a high-quality movie is $200 right now. The risk capital rate is 10% and the risk free rate is 3%.</a:t>
          </a:r>
        </a:p>
        <a:p>
          <a:r>
            <a:rPr lang="es-MX" sz="1100" b="0" i="0" u="none" strike="noStrike" baseline="0">
              <a:solidFill>
                <a:schemeClr val="dk1"/>
              </a:solidFill>
              <a:latin typeface="+mn-lt"/>
              <a:ea typeface="+mn-ea"/>
              <a:cs typeface="+mn-cs"/>
            </a:rPr>
            <a:t>(a) The authors offer for the copyrights is fair?</a:t>
          </a:r>
        </a:p>
        <a:p>
          <a:r>
            <a:rPr lang="es-MX" sz="1100" b="0" i="0" u="none" strike="noStrike" baseline="0">
              <a:solidFill>
                <a:schemeClr val="dk1"/>
              </a:solidFill>
              <a:latin typeface="+mn-lt"/>
              <a:ea typeface="+mn-ea"/>
              <a:cs typeface="+mn-cs"/>
            </a:rPr>
            <a:t>(b) What would the a fair value for the copyrights (project)?</a:t>
          </a:r>
        </a:p>
        <a:p>
          <a:r>
            <a:rPr lang="es-MX" sz="1100" b="0" i="0" u="none" strike="noStrike" baseline="0">
              <a:solidFill>
                <a:schemeClr val="dk1"/>
              </a:solidFill>
              <a:latin typeface="+mn-lt"/>
              <a:ea typeface="+mn-ea"/>
              <a:cs typeface="+mn-cs"/>
            </a:rPr>
            <a:t>(c) What value of the cost makes the project profitable for DC/Marvel?</a:t>
          </a:r>
          <a:endParaRPr lang="es-MX"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5</xdr:row>
      <xdr:rowOff>180974</xdr:rowOff>
    </xdr:from>
    <xdr:to>
      <xdr:col>11</xdr:col>
      <xdr:colOff>266700</xdr:colOff>
      <xdr:row>19</xdr:row>
      <xdr:rowOff>171449</xdr:rowOff>
    </xdr:to>
    <xdr:sp macro="" textlink="">
      <xdr:nvSpPr>
        <xdr:cNvPr id="2" name="CuadroTexto 1">
          <a:extLst>
            <a:ext uri="{FF2B5EF4-FFF2-40B4-BE49-F238E27FC236}">
              <a16:creationId xmlns:a16="http://schemas.microsoft.com/office/drawing/2014/main" id="{5F32552C-E4E6-405B-AC49-75E72A2E129F}"/>
            </a:ext>
          </a:extLst>
        </xdr:cNvPr>
        <xdr:cNvSpPr txBox="1"/>
      </xdr:nvSpPr>
      <xdr:spPr>
        <a:xfrm>
          <a:off x="3810000" y="1133474"/>
          <a:ext cx="4838700" cy="2657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0" i="0" u="none" strike="noStrike" baseline="0">
              <a:solidFill>
                <a:schemeClr val="dk1"/>
              </a:solidFill>
              <a:latin typeface="+mn-lt"/>
              <a:ea typeface="+mn-ea"/>
              <a:cs typeface="+mn-cs"/>
            </a:rPr>
            <a:t>2. NPV and Real Options II</a:t>
          </a:r>
        </a:p>
        <a:p>
          <a:r>
            <a:rPr lang="es-MX" sz="1100" b="0" i="0" u="none" strike="noStrike" baseline="0">
              <a:solidFill>
                <a:schemeClr val="dk1"/>
              </a:solidFill>
              <a:latin typeface="+mn-lt"/>
              <a:ea typeface="+mn-ea"/>
              <a:cs typeface="+mn-cs"/>
            </a:rPr>
            <a:t>A new writer as published the first book of a series of two. The book is currently a best-seller, however there are doubts that the second part would be as good as the first one. The second part will be completed in 3 years. The author offers the copyrights in $20M. DC and Marvel are evaluating to buy in advance right of the story. They cannot produce the movie until the second part of the book is completed.</a:t>
          </a:r>
        </a:p>
        <a:p>
          <a:r>
            <a:rPr lang="es-MX" sz="1100" b="0" i="0" u="none" strike="noStrike" baseline="0">
              <a:solidFill>
                <a:schemeClr val="dk1"/>
              </a:solidFill>
              <a:latin typeface="+mn-lt"/>
              <a:ea typeface="+mn-ea"/>
              <a:cs typeface="+mn-cs"/>
            </a:rPr>
            <a:t>The current cash flow estimation if the movie is produced today is $100M the first year (at the end) and the $20M for the next 5 years with a fluctuation of 90%. The estimated cost of a high-quality movie is $200 right now. The risk capital rate is 10% and the risk free rate is 3%.</a:t>
          </a:r>
        </a:p>
        <a:p>
          <a:r>
            <a:rPr lang="es-MX" sz="1100" b="0" i="0" u="none" strike="noStrike" baseline="0">
              <a:solidFill>
                <a:schemeClr val="dk1"/>
              </a:solidFill>
              <a:latin typeface="+mn-lt"/>
              <a:ea typeface="+mn-ea"/>
              <a:cs typeface="+mn-cs"/>
            </a:rPr>
            <a:t>(a) The authors offer for the copyrights is fair?</a:t>
          </a:r>
        </a:p>
        <a:p>
          <a:r>
            <a:rPr lang="es-MX" sz="1100" b="0" i="0" u="none" strike="noStrike" baseline="0">
              <a:solidFill>
                <a:schemeClr val="dk1"/>
              </a:solidFill>
              <a:latin typeface="+mn-lt"/>
              <a:ea typeface="+mn-ea"/>
              <a:cs typeface="+mn-cs"/>
            </a:rPr>
            <a:t>(b) What would the a fair value for the copyrights (project)?</a:t>
          </a:r>
        </a:p>
        <a:p>
          <a:r>
            <a:rPr lang="es-MX" sz="1100" b="0" i="0" u="none" strike="noStrike" baseline="0">
              <a:solidFill>
                <a:schemeClr val="dk1"/>
              </a:solidFill>
              <a:latin typeface="+mn-lt"/>
              <a:ea typeface="+mn-ea"/>
              <a:cs typeface="+mn-cs"/>
            </a:rPr>
            <a:t>(c) What value of the cost makes the project profitable for DC/Marvel?</a:t>
          </a:r>
          <a:endParaRPr lang="es-MX"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295275</xdr:colOff>
      <xdr:row>5</xdr:row>
      <xdr:rowOff>38101</xdr:rowOff>
    </xdr:from>
    <xdr:to>
      <xdr:col>10</xdr:col>
      <xdr:colOff>409575</xdr:colOff>
      <xdr:row>23</xdr:row>
      <xdr:rowOff>123825</xdr:rowOff>
    </xdr:to>
    <xdr:sp macro="" textlink="">
      <xdr:nvSpPr>
        <xdr:cNvPr id="2" name="CuadroTexto 1">
          <a:extLst>
            <a:ext uri="{FF2B5EF4-FFF2-40B4-BE49-F238E27FC236}">
              <a16:creationId xmlns:a16="http://schemas.microsoft.com/office/drawing/2014/main" id="{840C6850-CFC7-D666-3188-B7E2030FF224}"/>
            </a:ext>
          </a:extLst>
        </xdr:cNvPr>
        <xdr:cNvSpPr txBox="1"/>
      </xdr:nvSpPr>
      <xdr:spPr>
        <a:xfrm>
          <a:off x="2581275" y="1009651"/>
          <a:ext cx="5448300" cy="35432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0" i="0" u="none" strike="noStrike" baseline="0">
              <a:solidFill>
                <a:schemeClr val="dk1"/>
              </a:solidFill>
              <a:latin typeface="+mn-lt"/>
              <a:ea typeface="+mn-ea"/>
              <a:cs typeface="+mn-cs"/>
            </a:rPr>
            <a:t>3. NPV and Real Options III</a:t>
          </a:r>
        </a:p>
        <a:p>
          <a:r>
            <a:rPr lang="es-MX" sz="1100" b="0" i="0" u="none" strike="noStrike" baseline="0">
              <a:solidFill>
                <a:schemeClr val="dk1"/>
              </a:solidFill>
              <a:latin typeface="+mn-lt"/>
              <a:ea typeface="+mn-ea"/>
              <a:cs typeface="+mn-cs"/>
            </a:rPr>
            <a:t>On the black Friday, Xerox was granted a loan and is evaluating to acquire another company. The current market value of HPQ $50B. To acquire the company Xerox would need to pay a 20% premium.</a:t>
          </a:r>
        </a:p>
        <a:p>
          <a:r>
            <a:rPr lang="es-MX" sz="1100" b="0" i="0" u="none" strike="noStrike" baseline="0">
              <a:solidFill>
                <a:schemeClr val="dk1"/>
              </a:solidFill>
              <a:latin typeface="+mn-lt"/>
              <a:ea typeface="+mn-ea"/>
              <a:cs typeface="+mn-cs"/>
            </a:rPr>
            <a:t>(Transaction 1)</a:t>
          </a:r>
        </a:p>
        <a:p>
          <a:r>
            <a:rPr lang="es-MX" sz="1100" b="0" i="0" u="none" strike="noStrike" baseline="0">
              <a:solidFill>
                <a:schemeClr val="dk1"/>
              </a:solidFill>
              <a:latin typeface="+mn-lt"/>
              <a:ea typeface="+mn-ea"/>
              <a:cs typeface="+mn-cs"/>
            </a:rPr>
            <a:t>The legal procedures and synergies cost would take 1 year and are estimated at $5B in net present value. The company could pay interest on the loan to have the capital available to complete the transaction. The global market of HPQ would enable Xerox to increase sales (the year after the legal procedures are completed) of $2B each year for the next 10 years with a historical variation of 50%. (Transaction 2)</a:t>
          </a:r>
        </a:p>
        <a:p>
          <a:r>
            <a:rPr lang="es-MX" sz="1100" b="0" i="0" u="none" strike="noStrike" baseline="0">
              <a:solidFill>
                <a:schemeClr val="dk1"/>
              </a:solidFill>
              <a:latin typeface="+mn-lt"/>
              <a:ea typeface="+mn-ea"/>
              <a:cs typeface="+mn-cs"/>
            </a:rPr>
            <a:t>(a) What the NPV of transaction 1?</a:t>
          </a:r>
        </a:p>
        <a:p>
          <a:r>
            <a:rPr lang="es-MX" sz="1100" b="0" i="0" u="none" strike="noStrike" baseline="0">
              <a:solidFill>
                <a:schemeClr val="dk1"/>
              </a:solidFill>
              <a:latin typeface="+mn-lt"/>
              <a:ea typeface="+mn-ea"/>
              <a:cs typeface="+mn-cs"/>
            </a:rPr>
            <a:t>(b) What the NPV of transaction 2?</a:t>
          </a:r>
        </a:p>
        <a:p>
          <a:r>
            <a:rPr lang="es-MX" sz="1100" b="0" i="0" u="none" strike="noStrike" baseline="0">
              <a:solidFill>
                <a:schemeClr val="dk1"/>
              </a:solidFill>
              <a:latin typeface="+mn-lt"/>
              <a:ea typeface="+mn-ea"/>
              <a:cs typeface="+mn-cs"/>
            </a:rPr>
            <a:t>(c) What the NPV of acquisition?</a:t>
          </a:r>
        </a:p>
        <a:p>
          <a:r>
            <a:rPr lang="es-MX" sz="1100" b="0" i="0" u="none" strike="noStrike" baseline="0">
              <a:solidFill>
                <a:schemeClr val="dk1"/>
              </a:solidFill>
              <a:latin typeface="+mn-lt"/>
              <a:ea typeface="+mn-ea"/>
              <a:cs typeface="+mn-cs"/>
            </a:rPr>
            <a:t>(d) What are the value of interest Xerox could pay to have the capital available to complete the transaction. Under ROA, what the value of the project?</a:t>
          </a:r>
        </a:p>
        <a:p>
          <a:r>
            <a:rPr lang="es-MX" sz="1100" b="0" i="0" u="none" strike="noStrike" baseline="0">
              <a:solidFill>
                <a:schemeClr val="dk1"/>
              </a:solidFill>
              <a:latin typeface="+mn-lt"/>
              <a:ea typeface="+mn-ea"/>
              <a:cs typeface="+mn-cs"/>
            </a:rPr>
            <a:t>(e) What the maximum/minimum rate of premiu</a:t>
          </a:r>
        </a:p>
        <a:p>
          <a:r>
            <a:rPr lang="es-MX" sz="1100" b="0" i="0" u="none" strike="noStrike" baseline="0">
              <a:solidFill>
                <a:schemeClr val="dk1"/>
              </a:solidFill>
              <a:latin typeface="+mn-lt"/>
              <a:ea typeface="+mn-ea"/>
              <a:cs typeface="+mn-cs"/>
            </a:rPr>
            <a:t>m in transaction 1 that Xerox can afford to make the transaction profitable? (Answer in %, it could be negative)</a:t>
          </a:r>
          <a:endParaRPr lang="es-MX"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638175</xdr:colOff>
      <xdr:row>15</xdr:row>
      <xdr:rowOff>152402</xdr:rowOff>
    </xdr:from>
    <xdr:to>
      <xdr:col>9</xdr:col>
      <xdr:colOff>676275</xdr:colOff>
      <xdr:row>30</xdr:row>
      <xdr:rowOff>114300</xdr:rowOff>
    </xdr:to>
    <xdr:sp macro="" textlink="">
      <xdr:nvSpPr>
        <xdr:cNvPr id="2" name="CuadroTexto 1">
          <a:extLst>
            <a:ext uri="{FF2B5EF4-FFF2-40B4-BE49-F238E27FC236}">
              <a16:creationId xmlns:a16="http://schemas.microsoft.com/office/drawing/2014/main" id="{6BF88C9F-3391-5C76-9319-171D5C282AD7}"/>
            </a:ext>
          </a:extLst>
        </xdr:cNvPr>
        <xdr:cNvSpPr txBox="1"/>
      </xdr:nvSpPr>
      <xdr:spPr>
        <a:xfrm>
          <a:off x="4848225" y="3019427"/>
          <a:ext cx="4610100" cy="28193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0" i="0" u="none" strike="noStrike" baseline="0">
              <a:solidFill>
                <a:schemeClr val="dk1"/>
              </a:solidFill>
              <a:latin typeface="+mn-lt"/>
              <a:ea typeface="+mn-ea"/>
              <a:cs typeface="+mn-cs"/>
            </a:rPr>
            <a:t>4. Exchange</a:t>
          </a:r>
        </a:p>
        <a:p>
          <a:r>
            <a:rPr lang="es-MX" sz="1100" b="0" i="0" u="none" strike="noStrike" baseline="0">
              <a:solidFill>
                <a:schemeClr val="dk1"/>
              </a:solidFill>
              <a:latin typeface="+mn-lt"/>
              <a:ea typeface="+mn-ea"/>
              <a:cs typeface="+mn-cs"/>
            </a:rPr>
            <a:t>Consider that you are a 7th semester ITESO Financial Engineer and you have exactly one year left to graduate. You have the concern of changing your career to Data Science. The current time net present value of a FE’s income in the labor market equals $5.4M with 15% volatility and a data scientist’s income is $5.7M with 25% volatility. There is a correlation of 0.5 between both incomes. Salaries for both are expected to grow at the rate of 3% inflation (continuous). The risk-free rate is 5% (continuous). The NPV cost of the FE and Data Science degree is $1.2M. If you want to graduate in Data Science you will have to take extra courses at a cost of $0.55M. If you pay and take those subjects, in 1 year you can choose how to graduate, as IF or as a Data Scientist.</a:t>
          </a:r>
        </a:p>
        <a:p>
          <a:r>
            <a:rPr lang="es-MX" sz="1100" b="0" i="0" u="none" strike="noStrike" baseline="0">
              <a:solidFill>
                <a:schemeClr val="dk1"/>
              </a:solidFill>
              <a:latin typeface="+mn-lt"/>
              <a:ea typeface="+mn-ea"/>
              <a:cs typeface="+mn-cs"/>
            </a:rPr>
            <a:t>(a) What would you do?</a:t>
          </a:r>
        </a:p>
        <a:p>
          <a:r>
            <a:rPr lang="es-MX" sz="1100" b="0" i="0" u="none" strike="noStrike" baseline="0">
              <a:solidFill>
                <a:schemeClr val="dk1"/>
              </a:solidFill>
              <a:latin typeface="+mn-lt"/>
              <a:ea typeface="+mn-ea"/>
              <a:cs typeface="+mn-cs"/>
            </a:rPr>
            <a:t>(b) How much would you pay for the extra courses?</a:t>
          </a:r>
        </a:p>
        <a:p>
          <a:r>
            <a:rPr lang="es-MX" sz="1100" b="0" i="0" u="none" strike="noStrike" baseline="0">
              <a:solidFill>
                <a:schemeClr val="dk1"/>
              </a:solidFill>
              <a:latin typeface="+mn-lt"/>
              <a:ea typeface="+mn-ea"/>
              <a:cs typeface="+mn-cs"/>
            </a:rPr>
            <a:t>(c) What would you do if you have 2 years to graduate instead of 1?</a:t>
          </a:r>
          <a:endParaRPr lang="es-MX"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466726</xdr:colOff>
      <xdr:row>19</xdr:row>
      <xdr:rowOff>161926</xdr:rowOff>
    </xdr:from>
    <xdr:to>
      <xdr:col>10</xdr:col>
      <xdr:colOff>161925</xdr:colOff>
      <xdr:row>31</xdr:row>
      <xdr:rowOff>66675</xdr:rowOff>
    </xdr:to>
    <xdr:sp macro="" textlink="">
      <xdr:nvSpPr>
        <xdr:cNvPr id="2" name="CuadroTexto 1">
          <a:extLst>
            <a:ext uri="{FF2B5EF4-FFF2-40B4-BE49-F238E27FC236}">
              <a16:creationId xmlns:a16="http://schemas.microsoft.com/office/drawing/2014/main" id="{48B67CE1-8C59-AFE3-6E36-0395F5D52F3A}"/>
            </a:ext>
          </a:extLst>
        </xdr:cNvPr>
        <xdr:cNvSpPr txBox="1"/>
      </xdr:nvSpPr>
      <xdr:spPr>
        <a:xfrm>
          <a:off x="4781551" y="4162426"/>
          <a:ext cx="4095749" cy="2190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0" i="0" u="none" strike="noStrike" baseline="0">
              <a:solidFill>
                <a:schemeClr val="dk1"/>
              </a:solidFill>
              <a:latin typeface="+mn-lt"/>
              <a:ea typeface="+mn-ea"/>
              <a:cs typeface="+mn-cs"/>
            </a:rPr>
            <a:t>5. Renewal</a:t>
          </a:r>
        </a:p>
        <a:p>
          <a:r>
            <a:rPr lang="es-MX" sz="1100" b="0" i="0" u="none" strike="noStrike" baseline="0">
              <a:solidFill>
                <a:schemeClr val="dk1"/>
              </a:solidFill>
              <a:latin typeface="+mn-lt"/>
              <a:ea typeface="+mn-ea"/>
              <a:cs typeface="+mn-cs"/>
            </a:rPr>
            <a:t>A company recently acquire a machine that produces 100k units per year. There is a contract to sell each unit at $5. The productivity of the machine decays at a rate of -20% each year (continuous) with a volatility of 40%. The yearly maintenance cost are $50k. The risk free rate is 5% (continuous).</a:t>
          </a:r>
        </a:p>
        <a:p>
          <a:r>
            <a:rPr lang="es-MX" sz="1100" b="0" i="0" u="none" strike="noStrike" baseline="0">
              <a:solidFill>
                <a:schemeClr val="dk1"/>
              </a:solidFill>
              <a:latin typeface="+mn-lt"/>
              <a:ea typeface="+mn-ea"/>
              <a:cs typeface="+mn-cs"/>
            </a:rPr>
            <a:t>(a) When is the optimal time to renew?</a:t>
          </a:r>
        </a:p>
        <a:p>
          <a:r>
            <a:rPr lang="es-MX" sz="1100" b="0" i="0" u="none" strike="noStrike" baseline="0">
              <a:solidFill>
                <a:schemeClr val="dk1"/>
              </a:solidFill>
              <a:latin typeface="+mn-lt"/>
              <a:ea typeface="+mn-ea"/>
              <a:cs typeface="+mn-cs"/>
            </a:rPr>
            <a:t>(b) The company want to renew the machine every 10 years for tax purposes. What would be the yearly maintenance cost to achieve this target?</a:t>
          </a:r>
          <a:endParaRPr lang="es-MX" sz="1100"/>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2DC8-A21F-45AC-BE1F-FFE8B10E352A}">
  <dimension ref="B1:Y51"/>
  <sheetViews>
    <sheetView topLeftCell="A3" workbookViewId="0">
      <selection activeCell="C77" sqref="C77"/>
    </sheetView>
  </sheetViews>
  <sheetFormatPr baseColWidth="10" defaultRowHeight="15" x14ac:dyDescent="0.2"/>
  <cols>
    <col min="2" max="2" width="18.1640625" customWidth="1"/>
    <col min="3" max="3" width="18.6640625" bestFit="1" customWidth="1"/>
    <col min="10" max="10" width="18.5" customWidth="1"/>
    <col min="18" max="18" width="16" customWidth="1"/>
  </cols>
  <sheetData>
    <row r="1" spans="2:24" x14ac:dyDescent="0.2">
      <c r="C1" t="s">
        <v>26</v>
      </c>
      <c r="D1" t="s">
        <v>27</v>
      </c>
      <c r="K1" t="s">
        <v>26</v>
      </c>
      <c r="L1" t="s">
        <v>27</v>
      </c>
      <c r="S1" t="s">
        <v>26</v>
      </c>
      <c r="T1" t="s">
        <v>27</v>
      </c>
    </row>
    <row r="2" spans="2:24" x14ac:dyDescent="0.2">
      <c r="B2" t="s">
        <v>8</v>
      </c>
      <c r="C2" s="1">
        <v>0.05</v>
      </c>
      <c r="D2" s="2">
        <f>+LN(1+C2)</f>
        <v>4.8790164169432049E-2</v>
      </c>
      <c r="J2" t="s">
        <v>8</v>
      </c>
      <c r="K2" s="1">
        <v>0.05</v>
      </c>
      <c r="L2" s="2">
        <f>+LN(1+K2)</f>
        <v>4.8790164169432049E-2</v>
      </c>
      <c r="R2" t="s">
        <v>8</v>
      </c>
      <c r="S2" s="1">
        <v>0.05</v>
      </c>
      <c r="T2" s="2">
        <f>+LN(1+S2)</f>
        <v>4.8790164169432049E-2</v>
      </c>
    </row>
    <row r="6" spans="2:24" x14ac:dyDescent="0.2">
      <c r="B6" t="s">
        <v>1</v>
      </c>
      <c r="C6">
        <v>0</v>
      </c>
      <c r="D6">
        <v>1</v>
      </c>
      <c r="E6">
        <v>2</v>
      </c>
      <c r="F6">
        <v>3</v>
      </c>
      <c r="G6">
        <v>4</v>
      </c>
      <c r="H6">
        <v>5</v>
      </c>
      <c r="J6" t="s">
        <v>1</v>
      </c>
      <c r="K6">
        <v>0</v>
      </c>
      <c r="L6">
        <v>1</v>
      </c>
      <c r="M6">
        <v>2</v>
      </c>
      <c r="N6">
        <v>3</v>
      </c>
      <c r="O6">
        <v>4</v>
      </c>
      <c r="P6">
        <v>5</v>
      </c>
      <c r="R6" t="s">
        <v>1</v>
      </c>
      <c r="S6">
        <v>0</v>
      </c>
      <c r="T6">
        <v>1</v>
      </c>
      <c r="U6">
        <v>2</v>
      </c>
      <c r="V6">
        <v>3</v>
      </c>
      <c r="W6">
        <v>4</v>
      </c>
      <c r="X6">
        <v>5</v>
      </c>
    </row>
    <row r="7" spans="2:24" x14ac:dyDescent="0.2">
      <c r="B7" t="s">
        <v>2</v>
      </c>
      <c r="D7">
        <v>60</v>
      </c>
      <c r="E7">
        <v>50</v>
      </c>
      <c r="F7">
        <v>40</v>
      </c>
      <c r="G7">
        <v>35</v>
      </c>
      <c r="H7">
        <v>25</v>
      </c>
      <c r="J7" t="s">
        <v>2</v>
      </c>
      <c r="L7">
        <v>60</v>
      </c>
      <c r="M7">
        <v>50</v>
      </c>
      <c r="N7">
        <v>40</v>
      </c>
      <c r="O7">
        <v>35</v>
      </c>
      <c r="P7">
        <v>25</v>
      </c>
      <c r="R7" t="s">
        <v>2</v>
      </c>
      <c r="T7">
        <v>60</v>
      </c>
      <c r="U7">
        <v>50</v>
      </c>
      <c r="V7">
        <v>40</v>
      </c>
      <c r="W7">
        <v>35</v>
      </c>
      <c r="X7">
        <v>25</v>
      </c>
    </row>
    <row r="8" spans="2:24" x14ac:dyDescent="0.2">
      <c r="B8" t="s">
        <v>3</v>
      </c>
      <c r="D8">
        <v>-30</v>
      </c>
      <c r="E8">
        <v>-30</v>
      </c>
      <c r="F8">
        <v>-30</v>
      </c>
      <c r="G8">
        <v>-30</v>
      </c>
      <c r="H8">
        <v>-30</v>
      </c>
      <c r="J8" t="s">
        <v>3</v>
      </c>
      <c r="L8">
        <v>-30</v>
      </c>
      <c r="M8">
        <v>-30</v>
      </c>
      <c r="N8">
        <v>-30</v>
      </c>
      <c r="O8">
        <v>-30</v>
      </c>
      <c r="P8">
        <v>-30</v>
      </c>
      <c r="R8" t="s">
        <v>3</v>
      </c>
      <c r="T8">
        <v>-30</v>
      </c>
      <c r="U8">
        <v>-30</v>
      </c>
      <c r="V8">
        <v>-30</v>
      </c>
      <c r="W8">
        <v>-30</v>
      </c>
      <c r="X8">
        <v>-30</v>
      </c>
    </row>
    <row r="9" spans="2:24" x14ac:dyDescent="0.2">
      <c r="B9" t="s">
        <v>4</v>
      </c>
      <c r="C9">
        <v>80</v>
      </c>
      <c r="J9" t="s">
        <v>4</v>
      </c>
      <c r="K9">
        <v>80</v>
      </c>
      <c r="R9" t="s">
        <v>4</v>
      </c>
      <c r="S9">
        <v>80</v>
      </c>
    </row>
    <row r="10" spans="2:24" x14ac:dyDescent="0.2">
      <c r="B10" t="s">
        <v>0</v>
      </c>
      <c r="J10" t="s">
        <v>0</v>
      </c>
      <c r="R10" t="s">
        <v>0</v>
      </c>
    </row>
    <row r="11" spans="2:24" x14ac:dyDescent="0.2">
      <c r="B11" s="3" t="s">
        <v>5</v>
      </c>
      <c r="C11" s="3">
        <v>80</v>
      </c>
      <c r="D11" s="3">
        <v>30</v>
      </c>
      <c r="E11" s="3">
        <v>20</v>
      </c>
      <c r="F11" s="3">
        <v>10</v>
      </c>
      <c r="G11" s="3">
        <v>5</v>
      </c>
      <c r="H11" s="3">
        <v>-5</v>
      </c>
      <c r="J11" s="3" t="s">
        <v>5</v>
      </c>
      <c r="K11" s="3">
        <v>80</v>
      </c>
      <c r="L11" s="3">
        <v>30</v>
      </c>
      <c r="M11" s="3">
        <v>20</v>
      </c>
      <c r="N11" s="3">
        <v>10</v>
      </c>
      <c r="O11" s="3">
        <v>5</v>
      </c>
      <c r="P11" s="3">
        <v>-5</v>
      </c>
      <c r="R11" s="3" t="s">
        <v>5</v>
      </c>
      <c r="S11" s="3">
        <v>80</v>
      </c>
      <c r="T11" s="3">
        <v>30</v>
      </c>
      <c r="U11" s="3">
        <v>20</v>
      </c>
      <c r="V11" s="3">
        <v>10</v>
      </c>
      <c r="W11" s="3">
        <v>5</v>
      </c>
      <c r="X11" s="3">
        <v>-5</v>
      </c>
    </row>
    <row r="12" spans="2:24" x14ac:dyDescent="0.2">
      <c r="B12" t="s">
        <v>9</v>
      </c>
      <c r="C12" s="1">
        <f>+IRR(C11:H11)</f>
        <v>-0.64051896495056326</v>
      </c>
      <c r="J12" t="s">
        <v>9</v>
      </c>
      <c r="K12" s="1">
        <f>+IRR(K11:P11)</f>
        <v>-0.64051896495056326</v>
      </c>
      <c r="R12" t="s">
        <v>9</v>
      </c>
      <c r="S12" s="1">
        <f>+IRR(S11:X11)</f>
        <v>-0.64051896495056326</v>
      </c>
    </row>
    <row r="13" spans="2:24" x14ac:dyDescent="0.2">
      <c r="B13" t="s">
        <v>10</v>
      </c>
      <c r="C13" s="4">
        <f>+NPV(D2,D11:H11)+C11</f>
        <v>135.64740508558162</v>
      </c>
      <c r="J13" t="s">
        <v>10</v>
      </c>
      <c r="K13" s="4">
        <f>+NPV(L2,L11:P11)+K11</f>
        <v>135.64740508558162</v>
      </c>
      <c r="R13" t="s">
        <v>10</v>
      </c>
      <c r="S13" s="4">
        <f>+NPV(T2,T11:X11)+S11</f>
        <v>135.64740508558162</v>
      </c>
    </row>
    <row r="15" spans="2:24" x14ac:dyDescent="0.2">
      <c r="B15" t="s">
        <v>11</v>
      </c>
      <c r="C15" s="1">
        <v>0.08</v>
      </c>
      <c r="J15" t="s">
        <v>11</v>
      </c>
      <c r="K15" s="1">
        <v>0.18</v>
      </c>
      <c r="R15" t="s">
        <v>11</v>
      </c>
      <c r="S15" s="1">
        <v>0.28000000000000003</v>
      </c>
    </row>
    <row r="16" spans="2:24" x14ac:dyDescent="0.2">
      <c r="B16" t="s">
        <v>7</v>
      </c>
      <c r="J16" t="s">
        <v>35</v>
      </c>
      <c r="R16" t="s">
        <v>37</v>
      </c>
    </row>
    <row r="17" spans="2:24" x14ac:dyDescent="0.2">
      <c r="B17" t="s">
        <v>2</v>
      </c>
      <c r="D17">
        <v>60</v>
      </c>
      <c r="E17">
        <v>50</v>
      </c>
      <c r="F17">
        <v>50</v>
      </c>
      <c r="G17">
        <v>40</v>
      </c>
      <c r="H17">
        <v>35</v>
      </c>
      <c r="J17" t="s">
        <v>2</v>
      </c>
      <c r="L17">
        <v>70</v>
      </c>
      <c r="M17">
        <v>80</v>
      </c>
      <c r="N17">
        <v>90</v>
      </c>
      <c r="O17">
        <v>100</v>
      </c>
      <c r="P17">
        <v>110</v>
      </c>
      <c r="R17" t="s">
        <v>2</v>
      </c>
      <c r="T17">
        <v>70</v>
      </c>
      <c r="U17">
        <v>90</v>
      </c>
      <c r="V17">
        <v>110</v>
      </c>
      <c r="W17">
        <v>130</v>
      </c>
      <c r="X17">
        <v>150</v>
      </c>
    </row>
    <row r="18" spans="2:24" x14ac:dyDescent="0.2">
      <c r="B18" t="s">
        <v>3</v>
      </c>
      <c r="D18">
        <v>-30</v>
      </c>
      <c r="E18">
        <v>-30</v>
      </c>
      <c r="F18">
        <v>-30</v>
      </c>
      <c r="G18">
        <v>-30</v>
      </c>
      <c r="H18">
        <v>-30</v>
      </c>
      <c r="J18" t="s">
        <v>3</v>
      </c>
      <c r="L18">
        <v>-40</v>
      </c>
      <c r="M18">
        <v>-40</v>
      </c>
      <c r="N18">
        <v>-40</v>
      </c>
      <c r="O18">
        <v>-40</v>
      </c>
      <c r="P18">
        <v>-30</v>
      </c>
      <c r="R18" t="s">
        <v>3</v>
      </c>
      <c r="T18">
        <v>-40</v>
      </c>
      <c r="U18">
        <v>-40</v>
      </c>
      <c r="V18">
        <v>-40</v>
      </c>
      <c r="W18">
        <v>-40</v>
      </c>
      <c r="X18">
        <v>-40</v>
      </c>
    </row>
    <row r="19" spans="2:24" x14ac:dyDescent="0.2">
      <c r="B19" t="s">
        <v>4</v>
      </c>
      <c r="C19">
        <v>40</v>
      </c>
      <c r="J19" t="s">
        <v>4</v>
      </c>
      <c r="R19" t="s">
        <v>4</v>
      </c>
    </row>
    <row r="20" spans="2:24" x14ac:dyDescent="0.2">
      <c r="B20" t="s">
        <v>6</v>
      </c>
      <c r="C20">
        <v>-40</v>
      </c>
      <c r="J20" t="s">
        <v>6</v>
      </c>
      <c r="K20">
        <v>-80</v>
      </c>
      <c r="L20">
        <v>-20</v>
      </c>
      <c r="M20">
        <v>-20</v>
      </c>
      <c r="R20" t="s">
        <v>6</v>
      </c>
      <c r="S20">
        <v>-80</v>
      </c>
      <c r="T20">
        <v>-20</v>
      </c>
      <c r="U20">
        <v>-20</v>
      </c>
      <c r="V20">
        <v>-20</v>
      </c>
      <c r="W20">
        <v>-20</v>
      </c>
      <c r="X20">
        <v>-20</v>
      </c>
    </row>
    <row r="21" spans="2:24" x14ac:dyDescent="0.2">
      <c r="B21" s="3" t="s">
        <v>5</v>
      </c>
      <c r="C21" s="3">
        <v>0</v>
      </c>
      <c r="D21" s="3">
        <v>30</v>
      </c>
      <c r="E21" s="3">
        <v>20</v>
      </c>
      <c r="F21" s="3">
        <v>20</v>
      </c>
      <c r="G21" s="3">
        <v>10</v>
      </c>
      <c r="H21" s="3">
        <v>5</v>
      </c>
      <c r="J21" s="3" t="s">
        <v>5</v>
      </c>
      <c r="K21" s="3">
        <f>+SUM(K17:K20)</f>
        <v>-80</v>
      </c>
      <c r="L21" s="3">
        <f t="shared" ref="L21:P21" si="0">+SUM(L17:L20)</f>
        <v>10</v>
      </c>
      <c r="M21" s="3">
        <f t="shared" si="0"/>
        <v>20</v>
      </c>
      <c r="N21" s="3">
        <f t="shared" si="0"/>
        <v>50</v>
      </c>
      <c r="O21" s="3">
        <f t="shared" si="0"/>
        <v>60</v>
      </c>
      <c r="P21" s="3">
        <f t="shared" si="0"/>
        <v>80</v>
      </c>
      <c r="R21" s="3" t="s">
        <v>5</v>
      </c>
      <c r="S21" s="3">
        <f>+SUM(S17:S20)</f>
        <v>-80</v>
      </c>
      <c r="T21" s="3">
        <f t="shared" ref="T21:X21" si="1">+SUM(T17:T20)</f>
        <v>10</v>
      </c>
      <c r="U21" s="3">
        <f>+SUM(U17:U20)</f>
        <v>30</v>
      </c>
      <c r="V21" s="3">
        <f t="shared" si="1"/>
        <v>50</v>
      </c>
      <c r="W21" s="3">
        <f t="shared" si="1"/>
        <v>70</v>
      </c>
      <c r="X21" s="3">
        <f t="shared" si="1"/>
        <v>90</v>
      </c>
    </row>
    <row r="22" spans="2:24" x14ac:dyDescent="0.2">
      <c r="B22" t="s">
        <v>9</v>
      </c>
      <c r="C22" s="1" t="e">
        <f>+IRR(C21:H21)</f>
        <v>#NUM!</v>
      </c>
      <c r="J22" t="s">
        <v>9</v>
      </c>
      <c r="K22" s="1">
        <f>+IRR(K21:P21)</f>
        <v>0.32250855917251275</v>
      </c>
      <c r="R22" t="s">
        <v>9</v>
      </c>
      <c r="S22" s="1">
        <f>+IRR(S21:X21)</f>
        <v>0.37639194531382536</v>
      </c>
    </row>
    <row r="23" spans="2:24" x14ac:dyDescent="0.2">
      <c r="B23" t="s">
        <v>10</v>
      </c>
      <c r="C23" s="4">
        <f>+NPV(D2,D21:H21)+C21</f>
        <v>76.328793960030211</v>
      </c>
      <c r="J23" t="s">
        <v>10</v>
      </c>
      <c r="K23" s="4">
        <f>+NPV(L2,L21:P21)+K21</f>
        <v>103.69356130496411</v>
      </c>
      <c r="R23" t="s">
        <v>10</v>
      </c>
      <c r="S23" s="4">
        <f>+NPV(T2,T21:X21)+S21</f>
        <v>128.93040407483952</v>
      </c>
    </row>
    <row r="25" spans="2:24" x14ac:dyDescent="0.2">
      <c r="B25" t="s">
        <v>12</v>
      </c>
      <c r="J25" t="s">
        <v>36</v>
      </c>
      <c r="R25" t="s">
        <v>36</v>
      </c>
    </row>
    <row r="26" spans="2:24" x14ac:dyDescent="0.2">
      <c r="B26" t="s">
        <v>2</v>
      </c>
      <c r="C26">
        <f>+C17-C7</f>
        <v>0</v>
      </c>
      <c r="D26">
        <f t="shared" ref="D26:H26" si="2">+D17-D7</f>
        <v>0</v>
      </c>
      <c r="E26">
        <f t="shared" si="2"/>
        <v>0</v>
      </c>
      <c r="F26">
        <f t="shared" si="2"/>
        <v>10</v>
      </c>
      <c r="G26">
        <f t="shared" si="2"/>
        <v>5</v>
      </c>
      <c r="H26">
        <f t="shared" si="2"/>
        <v>10</v>
      </c>
      <c r="J26" t="s">
        <v>2</v>
      </c>
      <c r="K26">
        <f>+K17-K7</f>
        <v>0</v>
      </c>
      <c r="L26">
        <f>+L17-L7</f>
        <v>10</v>
      </c>
      <c r="M26">
        <f>+M17-M7</f>
        <v>30</v>
      </c>
      <c r="N26">
        <f t="shared" ref="N26:P26" si="3">+N17-N7</f>
        <v>50</v>
      </c>
      <c r="O26">
        <f t="shared" si="3"/>
        <v>65</v>
      </c>
      <c r="P26">
        <f t="shared" si="3"/>
        <v>85</v>
      </c>
      <c r="R26" t="s">
        <v>2</v>
      </c>
      <c r="S26">
        <f>+S17-S7</f>
        <v>0</v>
      </c>
      <c r="T26">
        <f>+T17-T7</f>
        <v>10</v>
      </c>
      <c r="U26">
        <f>+U17-U7</f>
        <v>40</v>
      </c>
      <c r="V26">
        <f t="shared" ref="V26:X26" si="4">+V17-V7</f>
        <v>70</v>
      </c>
      <c r="W26">
        <f t="shared" si="4"/>
        <v>95</v>
      </c>
      <c r="X26">
        <f t="shared" si="4"/>
        <v>125</v>
      </c>
    </row>
    <row r="27" spans="2:24" x14ac:dyDescent="0.2">
      <c r="B27" t="s">
        <v>3</v>
      </c>
      <c r="C27">
        <f t="shared" ref="C27:H27" si="5">+C18-C8</f>
        <v>0</v>
      </c>
      <c r="D27">
        <f t="shared" si="5"/>
        <v>0</v>
      </c>
      <c r="E27">
        <f t="shared" si="5"/>
        <v>0</v>
      </c>
      <c r="F27">
        <f t="shared" si="5"/>
        <v>0</v>
      </c>
      <c r="G27">
        <f t="shared" si="5"/>
        <v>0</v>
      </c>
      <c r="H27">
        <f t="shared" si="5"/>
        <v>0</v>
      </c>
      <c r="J27" t="s">
        <v>3</v>
      </c>
      <c r="K27">
        <f t="shared" ref="K27:P27" si="6">+K18-K8</f>
        <v>0</v>
      </c>
      <c r="L27">
        <f t="shared" si="6"/>
        <v>-10</v>
      </c>
      <c r="M27">
        <f t="shared" si="6"/>
        <v>-10</v>
      </c>
      <c r="N27">
        <f t="shared" si="6"/>
        <v>-10</v>
      </c>
      <c r="O27">
        <f t="shared" si="6"/>
        <v>-10</v>
      </c>
      <c r="P27">
        <f t="shared" si="6"/>
        <v>0</v>
      </c>
      <c r="R27" t="s">
        <v>3</v>
      </c>
      <c r="S27">
        <f t="shared" ref="S27:X27" si="7">+S18-S8</f>
        <v>0</v>
      </c>
      <c r="T27">
        <f t="shared" si="7"/>
        <v>-10</v>
      </c>
      <c r="U27">
        <f t="shared" si="7"/>
        <v>-10</v>
      </c>
      <c r="V27">
        <f t="shared" si="7"/>
        <v>-10</v>
      </c>
      <c r="W27">
        <f t="shared" si="7"/>
        <v>-10</v>
      </c>
      <c r="X27">
        <f t="shared" si="7"/>
        <v>-10</v>
      </c>
    </row>
    <row r="28" spans="2:24" x14ac:dyDescent="0.2">
      <c r="B28" t="s">
        <v>4</v>
      </c>
      <c r="C28">
        <f t="shared" ref="C28:H28" si="8">+C19-C9</f>
        <v>-40</v>
      </c>
      <c r="D28">
        <f t="shared" si="8"/>
        <v>0</v>
      </c>
      <c r="E28">
        <f t="shared" si="8"/>
        <v>0</v>
      </c>
      <c r="F28">
        <f t="shared" si="8"/>
        <v>0</v>
      </c>
      <c r="G28">
        <f t="shared" si="8"/>
        <v>0</v>
      </c>
      <c r="H28">
        <f t="shared" si="8"/>
        <v>0</v>
      </c>
      <c r="J28" t="s">
        <v>4</v>
      </c>
      <c r="K28">
        <f>+K19-K9</f>
        <v>-80</v>
      </c>
      <c r="L28">
        <f t="shared" ref="L28:P28" si="9">+L19-L9</f>
        <v>0</v>
      </c>
      <c r="M28">
        <f t="shared" si="9"/>
        <v>0</v>
      </c>
      <c r="N28">
        <f t="shared" si="9"/>
        <v>0</v>
      </c>
      <c r="O28">
        <f t="shared" si="9"/>
        <v>0</v>
      </c>
      <c r="P28">
        <f t="shared" si="9"/>
        <v>0</v>
      </c>
      <c r="R28" t="s">
        <v>4</v>
      </c>
      <c r="S28">
        <f>+S19-S9</f>
        <v>-80</v>
      </c>
      <c r="T28">
        <f t="shared" ref="T28:X28" si="10">+T19-T9</f>
        <v>0</v>
      </c>
      <c r="U28">
        <f t="shared" si="10"/>
        <v>0</v>
      </c>
      <c r="V28">
        <f t="shared" si="10"/>
        <v>0</v>
      </c>
      <c r="W28">
        <f t="shared" si="10"/>
        <v>0</v>
      </c>
      <c r="X28">
        <f t="shared" si="10"/>
        <v>0</v>
      </c>
    </row>
    <row r="29" spans="2:24" x14ac:dyDescent="0.2">
      <c r="B29" t="s">
        <v>6</v>
      </c>
      <c r="C29">
        <f t="shared" ref="C29:H29" si="11">+C20-C10</f>
        <v>-40</v>
      </c>
      <c r="D29">
        <f t="shared" si="11"/>
        <v>0</v>
      </c>
      <c r="E29">
        <f t="shared" si="11"/>
        <v>0</v>
      </c>
      <c r="F29">
        <f t="shared" si="11"/>
        <v>0</v>
      </c>
      <c r="G29">
        <f t="shared" si="11"/>
        <v>0</v>
      </c>
      <c r="H29">
        <f t="shared" si="11"/>
        <v>0</v>
      </c>
      <c r="J29" t="s">
        <v>6</v>
      </c>
      <c r="K29">
        <f>+K20-K10</f>
        <v>-80</v>
      </c>
      <c r="L29">
        <f t="shared" ref="L29:P29" si="12">+L20-L10</f>
        <v>-20</v>
      </c>
      <c r="M29">
        <f t="shared" si="12"/>
        <v>-20</v>
      </c>
      <c r="N29">
        <f t="shared" si="12"/>
        <v>0</v>
      </c>
      <c r="O29">
        <f t="shared" si="12"/>
        <v>0</v>
      </c>
      <c r="P29">
        <f t="shared" si="12"/>
        <v>0</v>
      </c>
      <c r="R29" t="s">
        <v>6</v>
      </c>
      <c r="S29">
        <f>+S20-S10</f>
        <v>-80</v>
      </c>
      <c r="T29">
        <f t="shared" ref="T29:X29" si="13">+T20-T10</f>
        <v>-20</v>
      </c>
      <c r="U29">
        <f t="shared" si="13"/>
        <v>-20</v>
      </c>
      <c r="V29">
        <f t="shared" si="13"/>
        <v>-20</v>
      </c>
      <c r="W29">
        <f t="shared" si="13"/>
        <v>-20</v>
      </c>
      <c r="X29">
        <f t="shared" si="13"/>
        <v>-20</v>
      </c>
    </row>
    <row r="30" spans="2:24" x14ac:dyDescent="0.2">
      <c r="B30" s="3" t="s">
        <v>5</v>
      </c>
      <c r="C30">
        <f>+C21-C11</f>
        <v>-80</v>
      </c>
      <c r="D30">
        <f t="shared" ref="D30:H30" si="14">+D21-D11</f>
        <v>0</v>
      </c>
      <c r="E30">
        <f t="shared" si="14"/>
        <v>0</v>
      </c>
      <c r="F30">
        <f t="shared" si="14"/>
        <v>10</v>
      </c>
      <c r="G30">
        <f t="shared" si="14"/>
        <v>5</v>
      </c>
      <c r="H30">
        <f t="shared" si="14"/>
        <v>10</v>
      </c>
      <c r="J30" s="3" t="s">
        <v>5</v>
      </c>
      <c r="K30">
        <f>+K21-K11</f>
        <v>-160</v>
      </c>
      <c r="L30">
        <f t="shared" ref="L30:P30" si="15">+L21-L11</f>
        <v>-20</v>
      </c>
      <c r="M30">
        <f t="shared" si="15"/>
        <v>0</v>
      </c>
      <c r="N30">
        <f t="shared" si="15"/>
        <v>40</v>
      </c>
      <c r="O30">
        <f t="shared" si="15"/>
        <v>55</v>
      </c>
      <c r="P30">
        <f t="shared" si="15"/>
        <v>85</v>
      </c>
      <c r="R30" s="3" t="s">
        <v>5</v>
      </c>
      <c r="S30">
        <f>+S21-S11</f>
        <v>-160</v>
      </c>
      <c r="T30">
        <f t="shared" ref="T30:X30" si="16">+T21-T11</f>
        <v>-20</v>
      </c>
      <c r="U30">
        <f t="shared" si="16"/>
        <v>10</v>
      </c>
      <c r="V30">
        <f t="shared" si="16"/>
        <v>40</v>
      </c>
      <c r="W30">
        <f t="shared" si="16"/>
        <v>65</v>
      </c>
      <c r="X30">
        <f t="shared" si="16"/>
        <v>95</v>
      </c>
    </row>
    <row r="31" spans="2:24" x14ac:dyDescent="0.2">
      <c r="B31" t="s">
        <v>9</v>
      </c>
      <c r="C31" s="1">
        <f>+IRR(C30:H30)</f>
        <v>-0.24637490000142659</v>
      </c>
      <c r="J31" t="s">
        <v>9</v>
      </c>
      <c r="K31" s="1">
        <f>+IRR(K30:P30)</f>
        <v>2.2204460492503131E-16</v>
      </c>
      <c r="R31" t="s">
        <v>9</v>
      </c>
      <c r="S31" s="50">
        <f>+IRR(S30:X30)</f>
        <v>3.8874448835606978E-2</v>
      </c>
    </row>
    <row r="32" spans="2:24" x14ac:dyDescent="0.2">
      <c r="B32" s="18" t="s">
        <v>10</v>
      </c>
      <c r="C32" s="19">
        <f>+NPV($D$2,D30:H30)+C30</f>
        <v>-59.318611125551428</v>
      </c>
      <c r="D32" t="s">
        <v>30</v>
      </c>
      <c r="J32" s="18" t="s">
        <v>10</v>
      </c>
      <c r="K32" s="19">
        <f>+NPV($D$2,L30:P30)+K30</f>
        <v>-31.953843780617518</v>
      </c>
      <c r="L32" t="s">
        <v>30</v>
      </c>
      <c r="R32" s="18" t="s">
        <v>10</v>
      </c>
      <c r="S32" s="19">
        <f>+NPV($D$2,T30:X30)+S30</f>
        <v>-6.7170010107421092</v>
      </c>
      <c r="T32" t="s">
        <v>30</v>
      </c>
    </row>
    <row r="33" spans="2:20" x14ac:dyDescent="0.2">
      <c r="D33" t="s">
        <v>31</v>
      </c>
      <c r="L33" t="s">
        <v>31</v>
      </c>
      <c r="T33" t="s">
        <v>31</v>
      </c>
    </row>
    <row r="34" spans="2:20" x14ac:dyDescent="0.2">
      <c r="B34" t="s">
        <v>13</v>
      </c>
      <c r="D34" t="s">
        <v>32</v>
      </c>
      <c r="J34" t="s">
        <v>13</v>
      </c>
      <c r="L34" t="s">
        <v>32</v>
      </c>
      <c r="R34" t="s">
        <v>13</v>
      </c>
      <c r="T34" t="s">
        <v>32</v>
      </c>
    </row>
    <row r="36" spans="2:20" x14ac:dyDescent="0.2">
      <c r="C36" s="5" t="s">
        <v>14</v>
      </c>
      <c r="K36" s="5" t="s">
        <v>14</v>
      </c>
      <c r="S36" s="5" t="s">
        <v>14</v>
      </c>
    </row>
    <row r="37" spans="2:20" x14ac:dyDescent="0.2">
      <c r="B37" s="6" t="s">
        <v>15</v>
      </c>
      <c r="C37" s="7">
        <f>+NPV(C2,D30:H30)</f>
        <v>20.58715002395876</v>
      </c>
      <c r="J37" s="6" t="s">
        <v>15</v>
      </c>
      <c r="K37" s="7">
        <f>+NPV(K2,L30:P30)</f>
        <v>127.35424515701251</v>
      </c>
      <c r="R37" s="6" t="s">
        <v>15</v>
      </c>
      <c r="S37" s="7">
        <f>+NPV(S2,T30:X30)</f>
        <v>152.48682635419641</v>
      </c>
    </row>
    <row r="38" spans="2:20" x14ac:dyDescent="0.2">
      <c r="B38" s="6" t="s">
        <v>16</v>
      </c>
      <c r="C38" s="8">
        <f>-C30*EXP(D2*C39)</f>
        <v>84</v>
      </c>
      <c r="J38" s="6" t="s">
        <v>16</v>
      </c>
      <c r="K38" s="8">
        <f>-K30*EXP(L2*K39)</f>
        <v>168</v>
      </c>
      <c r="R38" s="6" t="s">
        <v>16</v>
      </c>
      <c r="S38" s="8">
        <f>-S30*EXP(T2*S39)</f>
        <v>168</v>
      </c>
    </row>
    <row r="39" spans="2:20" x14ac:dyDescent="0.2">
      <c r="B39" s="6" t="s">
        <v>17</v>
      </c>
      <c r="C39" s="9">
        <v>1</v>
      </c>
      <c r="J39" s="6" t="s">
        <v>17</v>
      </c>
      <c r="K39" s="9">
        <v>1</v>
      </c>
      <c r="R39" s="6" t="s">
        <v>17</v>
      </c>
      <c r="S39" s="9">
        <v>1</v>
      </c>
    </row>
    <row r="40" spans="2:20" x14ac:dyDescent="0.2">
      <c r="B40" s="6" t="s">
        <v>18</v>
      </c>
      <c r="C40" s="10">
        <f>+D2</f>
        <v>4.8790164169432049E-2</v>
      </c>
      <c r="J40" s="6" t="s">
        <v>18</v>
      </c>
      <c r="K40" s="10">
        <f>+L2</f>
        <v>4.8790164169432049E-2</v>
      </c>
      <c r="R40" s="6" t="s">
        <v>18</v>
      </c>
      <c r="S40" s="10">
        <f>+T2</f>
        <v>4.8790164169432049E-2</v>
      </c>
    </row>
    <row r="41" spans="2:20" x14ac:dyDescent="0.2">
      <c r="B41" s="6" t="s">
        <v>11</v>
      </c>
      <c r="C41" s="17">
        <f>+C15</f>
        <v>0.08</v>
      </c>
      <c r="J41" s="6" t="s">
        <v>11</v>
      </c>
      <c r="K41" s="11">
        <v>0.18</v>
      </c>
      <c r="R41" s="6" t="s">
        <v>11</v>
      </c>
      <c r="S41" s="11">
        <v>0.28000000000000003</v>
      </c>
    </row>
    <row r="42" spans="2:20" x14ac:dyDescent="0.2">
      <c r="B42" s="12" t="s">
        <v>19</v>
      </c>
      <c r="C42" s="9">
        <f>(LN(C37/C38)+(C40+C41*C41*0.5)*C39)/(C41*SQRT(C39))</f>
        <v>-16.926994234475334</v>
      </c>
      <c r="J42" s="12" t="s">
        <v>19</v>
      </c>
      <c r="K42" s="9">
        <f>(LN(K37/K38)+(K40+K41*K41*0.5)*K39)/(K41*SQRT(K39))</f>
        <v>-1.1777848877649486</v>
      </c>
      <c r="R42" s="12" t="s">
        <v>19</v>
      </c>
      <c r="S42" s="9">
        <f>(LN(S37/S38)+(S40+S41*S41*0.5)*S39)/(S41*SQRT(S39))</f>
        <v>-3.1770026715600821E-2</v>
      </c>
    </row>
    <row r="43" spans="2:20" x14ac:dyDescent="0.2">
      <c r="B43" s="12" t="s">
        <v>20</v>
      </c>
      <c r="C43" s="9">
        <f>+C42-C41*SQRT(C39)</f>
        <v>-17.006994234475332</v>
      </c>
      <c r="J43" s="12" t="s">
        <v>20</v>
      </c>
      <c r="K43" s="9">
        <f>+K42-K41*SQRT(K39)</f>
        <v>-1.3577848877649485</v>
      </c>
      <c r="R43" s="12" t="s">
        <v>20</v>
      </c>
      <c r="S43" s="9">
        <f>+S42-S41*SQRT(S39)</f>
        <v>-0.31177002671560083</v>
      </c>
    </row>
    <row r="44" spans="2:20" x14ac:dyDescent="0.2">
      <c r="B44" s="13" t="s">
        <v>21</v>
      </c>
      <c r="C44" s="14">
        <f>_xlfn.NORM.DIST(C42,0,1,1)</f>
        <v>1.422720228489346E-64</v>
      </c>
      <c r="J44" s="13" t="s">
        <v>21</v>
      </c>
      <c r="K44" s="14">
        <f>_xlfn.NORM.DIST(K42,0,1,1)</f>
        <v>0.1194411874270252</v>
      </c>
      <c r="R44" s="13" t="s">
        <v>21</v>
      </c>
      <c r="S44" s="14">
        <f>_xlfn.NORM.DIST(S42,0,1,1)</f>
        <v>0.48732772489046483</v>
      </c>
    </row>
    <row r="45" spans="2:20" x14ac:dyDescent="0.2">
      <c r="B45" s="13" t="s">
        <v>22</v>
      </c>
      <c r="C45" s="14">
        <f>_xlfn.NORM.DIST(C43,0,1,1)</f>
        <v>3.644114514647658E-65</v>
      </c>
      <c r="J45" s="13" t="s">
        <v>22</v>
      </c>
      <c r="K45" s="14">
        <f>_xlfn.NORM.DIST(K43,0,1,1)</f>
        <v>8.7265975787652522E-2</v>
      </c>
      <c r="R45" s="13" t="s">
        <v>22</v>
      </c>
      <c r="S45" s="14">
        <f>_xlfn.NORM.DIST(S43,0,1,1)</f>
        <v>0.37760765233290816</v>
      </c>
    </row>
    <row r="46" spans="2:20" x14ac:dyDescent="0.2">
      <c r="B46" s="13" t="s">
        <v>23</v>
      </c>
      <c r="C46" s="14">
        <f>_xlfn.NORM.DIST(-C42,0,1,1)</f>
        <v>1</v>
      </c>
      <c r="J46" s="13" t="s">
        <v>23</v>
      </c>
      <c r="K46" s="14">
        <f>_xlfn.NORM.DIST(-K42,0,1,1)</f>
        <v>0.88055881257297486</v>
      </c>
      <c r="R46" s="13" t="s">
        <v>23</v>
      </c>
      <c r="S46" s="14">
        <f>_xlfn.NORM.DIST(-S42,0,1,1)</f>
        <v>0.51267227510953517</v>
      </c>
    </row>
    <row r="47" spans="2:20" x14ac:dyDescent="0.2">
      <c r="B47" s="13" t="s">
        <v>24</v>
      </c>
      <c r="C47" s="14">
        <f>_xlfn.NORM.DIST(-C43,0,1,1)</f>
        <v>1</v>
      </c>
      <c r="J47" s="13" t="s">
        <v>24</v>
      </c>
      <c r="K47" s="14">
        <f>_xlfn.NORM.DIST(-K43,0,1,1)</f>
        <v>0.91273402421234751</v>
      </c>
      <c r="R47" s="13" t="s">
        <v>24</v>
      </c>
      <c r="S47" s="14">
        <f>_xlfn.NORM.DIST(-S43,0,1,1)</f>
        <v>0.62239234766709184</v>
      </c>
    </row>
    <row r="48" spans="2:20" x14ac:dyDescent="0.2">
      <c r="B48" s="18" t="s">
        <v>25</v>
      </c>
      <c r="C48" s="20">
        <f>+C37*C44-C38*EXP(-C40*C39)*C45</f>
        <v>1.3683866884979157E-65</v>
      </c>
      <c r="D48" t="s">
        <v>29</v>
      </c>
      <c r="J48" s="18" t="s">
        <v>25</v>
      </c>
      <c r="K48" s="20">
        <f>+K37*K44-K38*EXP(-K40*K39)*K45</f>
        <v>1.2487861394016448</v>
      </c>
      <c r="L48" t="s">
        <v>29</v>
      </c>
      <c r="R48" s="18" t="s">
        <v>25</v>
      </c>
      <c r="S48" s="20">
        <f>+S37*S44-S38*EXP(-S40*S39)*S45</f>
        <v>13.8938337896926</v>
      </c>
      <c r="T48" t="s">
        <v>29</v>
      </c>
    </row>
    <row r="49" spans="2:25" x14ac:dyDescent="0.2">
      <c r="B49" s="18" t="s">
        <v>28</v>
      </c>
      <c r="C49" s="18">
        <f>+IF(C37&gt;C38,C48,C48+C32)</f>
        <v>-59.318611125551428</v>
      </c>
      <c r="D49" t="s">
        <v>34</v>
      </c>
      <c r="J49" s="18" t="s">
        <v>28</v>
      </c>
      <c r="K49" s="18">
        <f>+IF(K37&gt;K38,K48,K48+K32)</f>
        <v>-30.705057641215873</v>
      </c>
      <c r="L49" t="s">
        <v>34</v>
      </c>
      <c r="R49" s="18" t="s">
        <v>28</v>
      </c>
      <c r="S49" s="18">
        <f>+IF(S37&gt;S38,S48,S48+S32)</f>
        <v>7.1768327789504909</v>
      </c>
      <c r="T49" t="s">
        <v>34</v>
      </c>
    </row>
    <row r="50" spans="2:25" x14ac:dyDescent="0.2">
      <c r="D50" s="78" t="s">
        <v>33</v>
      </c>
      <c r="E50" s="78"/>
      <c r="F50" s="78"/>
      <c r="G50" s="78"/>
      <c r="H50" s="78"/>
      <c r="I50" s="78"/>
      <c r="L50" s="78" t="s">
        <v>33</v>
      </c>
      <c r="M50" s="78"/>
      <c r="N50" s="78"/>
      <c r="O50" s="78"/>
      <c r="P50" s="78"/>
      <c r="Q50" s="78"/>
      <c r="T50" s="78" t="s">
        <v>33</v>
      </c>
      <c r="U50" s="78"/>
      <c r="V50" s="78"/>
      <c r="W50" s="78"/>
      <c r="X50" s="78"/>
      <c r="Y50" s="78"/>
    </row>
    <row r="51" spans="2:25" x14ac:dyDescent="0.2">
      <c r="D51" s="78"/>
      <c r="E51" s="78"/>
      <c r="F51" s="78"/>
      <c r="G51" s="78"/>
      <c r="H51" s="78"/>
      <c r="I51" s="78"/>
      <c r="L51" s="78"/>
      <c r="M51" s="78"/>
      <c r="N51" s="78"/>
      <c r="O51" s="78"/>
      <c r="P51" s="78"/>
      <c r="Q51" s="78"/>
      <c r="T51" s="78"/>
      <c r="U51" s="78"/>
      <c r="V51" s="78"/>
      <c r="W51" s="78"/>
      <c r="X51" s="78"/>
      <c r="Y51" s="78"/>
    </row>
  </sheetData>
  <mergeCells count="3">
    <mergeCell ref="D50:I51"/>
    <mergeCell ref="L50:Q51"/>
    <mergeCell ref="T50:Y5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D3BB-7D7F-4EEC-A382-0038ED2AB004}">
  <dimension ref="A2:Z48"/>
  <sheetViews>
    <sheetView topLeftCell="A12" zoomScale="106" workbookViewId="0">
      <selection activeCell="E43" sqref="E43"/>
    </sheetView>
  </sheetViews>
  <sheetFormatPr baseColWidth="10" defaultRowHeight="15" x14ac:dyDescent="0.2"/>
  <cols>
    <col min="1" max="1" width="14.33203125" bestFit="1" customWidth="1"/>
    <col min="2" max="2" width="10.6640625" customWidth="1"/>
    <col min="3" max="3" width="13" customWidth="1"/>
    <col min="4" max="4" width="17.1640625" customWidth="1"/>
    <col min="5" max="5" width="11.5" customWidth="1"/>
    <col min="12" max="12" width="17.1640625" customWidth="1"/>
    <col min="20" max="20" width="16" customWidth="1"/>
  </cols>
  <sheetData>
    <row r="2" spans="1:26" x14ac:dyDescent="0.2">
      <c r="D2" s="9" t="s">
        <v>1</v>
      </c>
      <c r="E2" s="9">
        <v>0</v>
      </c>
      <c r="F2" s="9">
        <v>1</v>
      </c>
      <c r="G2" s="9">
        <v>2</v>
      </c>
      <c r="H2" s="9">
        <v>3</v>
      </c>
      <c r="I2" s="9">
        <v>4</v>
      </c>
      <c r="J2" s="9">
        <v>5</v>
      </c>
      <c r="L2" s="9" t="s">
        <v>1</v>
      </c>
      <c r="M2" s="9">
        <v>0</v>
      </c>
      <c r="N2" s="9">
        <v>1</v>
      </c>
      <c r="O2" s="9">
        <v>2</v>
      </c>
      <c r="P2" s="9">
        <v>3</v>
      </c>
      <c r="Q2" s="9">
        <v>4</v>
      </c>
      <c r="R2" s="9">
        <v>5</v>
      </c>
      <c r="T2" s="9" t="s">
        <v>1</v>
      </c>
      <c r="U2" s="9">
        <v>0</v>
      </c>
      <c r="V2" s="9">
        <v>1</v>
      </c>
      <c r="W2" s="9">
        <v>2</v>
      </c>
      <c r="X2" s="9">
        <v>3</v>
      </c>
      <c r="Y2" s="9">
        <v>4</v>
      </c>
      <c r="Z2" s="9">
        <v>5</v>
      </c>
    </row>
    <row r="3" spans="1:26" x14ac:dyDescent="0.2">
      <c r="A3" t="s">
        <v>92</v>
      </c>
      <c r="B3" s="1">
        <v>0.05</v>
      </c>
      <c r="D3" s="9" t="s">
        <v>2</v>
      </c>
      <c r="E3" s="9"/>
      <c r="F3" s="9">
        <v>60</v>
      </c>
      <c r="G3" s="9">
        <v>50</v>
      </c>
      <c r="H3" s="9">
        <v>40</v>
      </c>
      <c r="I3" s="9">
        <v>35</v>
      </c>
      <c r="J3" s="9">
        <v>25</v>
      </c>
      <c r="L3" s="9" t="s">
        <v>2</v>
      </c>
      <c r="M3" s="9"/>
      <c r="N3" s="9">
        <v>60</v>
      </c>
      <c r="O3" s="9">
        <v>50</v>
      </c>
      <c r="P3" s="9">
        <v>40</v>
      </c>
      <c r="Q3" s="9">
        <v>35</v>
      </c>
      <c r="R3" s="9">
        <v>25</v>
      </c>
      <c r="T3" s="9" t="s">
        <v>2</v>
      </c>
      <c r="U3" s="9"/>
      <c r="V3" s="9">
        <v>60</v>
      </c>
      <c r="W3" s="9">
        <v>50</v>
      </c>
      <c r="X3" s="9">
        <v>40</v>
      </c>
      <c r="Y3" s="9">
        <v>35</v>
      </c>
      <c r="Z3" s="9">
        <v>25</v>
      </c>
    </row>
    <row r="4" spans="1:26" x14ac:dyDescent="0.2">
      <c r="A4" t="s">
        <v>97</v>
      </c>
      <c r="B4" s="2">
        <f>+LN(1+B3)</f>
        <v>4.8790164169432049E-2</v>
      </c>
      <c r="D4" s="9" t="s">
        <v>3</v>
      </c>
      <c r="E4" s="9"/>
      <c r="F4" s="9">
        <v>-30</v>
      </c>
      <c r="G4" s="9">
        <v>-30</v>
      </c>
      <c r="H4" s="9">
        <v>-30</v>
      </c>
      <c r="I4" s="9">
        <v>-30</v>
      </c>
      <c r="J4" s="9">
        <v>-30</v>
      </c>
      <c r="L4" s="9" t="s">
        <v>3</v>
      </c>
      <c r="M4" s="9"/>
      <c r="N4" s="9">
        <v>-30</v>
      </c>
      <c r="O4" s="9">
        <v>-30</v>
      </c>
      <c r="P4" s="9">
        <v>-30</v>
      </c>
      <c r="Q4" s="9">
        <v>-30</v>
      </c>
      <c r="R4" s="9">
        <v>-30</v>
      </c>
      <c r="T4" s="9" t="s">
        <v>3</v>
      </c>
      <c r="U4" s="9"/>
      <c r="V4" s="9">
        <v>-30</v>
      </c>
      <c r="W4" s="9">
        <v>-30</v>
      </c>
      <c r="X4" s="9">
        <v>-30</v>
      </c>
      <c r="Y4" s="9">
        <v>-30</v>
      </c>
      <c r="Z4" s="9">
        <v>-30</v>
      </c>
    </row>
    <row r="5" spans="1:26" x14ac:dyDescent="0.2">
      <c r="A5" t="s">
        <v>93</v>
      </c>
      <c r="B5" s="1">
        <v>0.08</v>
      </c>
      <c r="D5" s="9" t="s">
        <v>4</v>
      </c>
      <c r="E5" s="9">
        <v>80</v>
      </c>
      <c r="F5" s="9"/>
      <c r="G5" s="9"/>
      <c r="H5" s="9"/>
      <c r="I5" s="9"/>
      <c r="J5" s="9"/>
      <c r="L5" s="9" t="s">
        <v>4</v>
      </c>
      <c r="M5" s="9">
        <v>80</v>
      </c>
      <c r="N5" s="9"/>
      <c r="O5" s="9"/>
      <c r="P5" s="9"/>
      <c r="Q5" s="9"/>
      <c r="R5" s="9"/>
      <c r="T5" s="9" t="s">
        <v>4</v>
      </c>
      <c r="U5" s="9">
        <v>80</v>
      </c>
      <c r="V5" s="9"/>
      <c r="W5" s="9"/>
      <c r="X5" s="9"/>
      <c r="Y5" s="9"/>
      <c r="Z5" s="9"/>
    </row>
    <row r="6" spans="1:26" x14ac:dyDescent="0.2">
      <c r="A6" t="s">
        <v>94</v>
      </c>
      <c r="B6" s="1">
        <v>0.18</v>
      </c>
      <c r="D6" s="9" t="s">
        <v>0</v>
      </c>
      <c r="E6" s="9"/>
      <c r="F6" s="9"/>
      <c r="G6" s="9"/>
      <c r="H6" s="9"/>
      <c r="I6" s="9"/>
      <c r="J6" s="9"/>
      <c r="L6" s="9" t="s">
        <v>0</v>
      </c>
      <c r="M6" s="9"/>
      <c r="N6" s="9"/>
      <c r="O6" s="9"/>
      <c r="P6" s="9"/>
      <c r="Q6" s="9"/>
      <c r="R6" s="9"/>
      <c r="T6" s="9" t="s">
        <v>0</v>
      </c>
      <c r="U6" s="9"/>
      <c r="V6" s="9"/>
      <c r="W6" s="9"/>
      <c r="X6" s="9"/>
      <c r="Y6" s="9"/>
      <c r="Z6" s="9"/>
    </row>
    <row r="7" spans="1:26" ht="16" thickBot="1" x14ac:dyDescent="0.25">
      <c r="A7" t="s">
        <v>95</v>
      </c>
      <c r="B7" s="1">
        <v>0.28000000000000003</v>
      </c>
      <c r="D7" s="59" t="s">
        <v>5</v>
      </c>
      <c r="E7" s="59">
        <v>80</v>
      </c>
      <c r="F7" s="59">
        <v>30</v>
      </c>
      <c r="G7" s="59">
        <v>20</v>
      </c>
      <c r="H7" s="59">
        <v>10</v>
      </c>
      <c r="I7" s="59">
        <v>5</v>
      </c>
      <c r="J7" s="59">
        <v>-5</v>
      </c>
      <c r="L7" s="59" t="s">
        <v>5</v>
      </c>
      <c r="M7" s="59">
        <v>80</v>
      </c>
      <c r="N7" s="59">
        <v>30</v>
      </c>
      <c r="O7" s="59">
        <v>20</v>
      </c>
      <c r="P7" s="59">
        <v>10</v>
      </c>
      <c r="Q7" s="59">
        <v>5</v>
      </c>
      <c r="R7" s="59">
        <v>-5</v>
      </c>
      <c r="T7" s="59" t="s">
        <v>5</v>
      </c>
      <c r="U7" s="59">
        <v>80</v>
      </c>
      <c r="V7" s="59">
        <v>30</v>
      </c>
      <c r="W7" s="59">
        <v>20</v>
      </c>
      <c r="X7" s="59">
        <v>10</v>
      </c>
      <c r="Y7" s="59">
        <v>5</v>
      </c>
      <c r="Z7" s="59">
        <v>-5</v>
      </c>
    </row>
    <row r="8" spans="1:26" x14ac:dyDescent="0.2">
      <c r="D8" s="9" t="s">
        <v>96</v>
      </c>
      <c r="E8" s="61">
        <f>+IRR(E7:J7)</f>
        <v>-0.64051896495056326</v>
      </c>
      <c r="L8" s="9" t="s">
        <v>96</v>
      </c>
      <c r="M8" s="61">
        <f>+IRR(M7:R7)</f>
        <v>-0.64051896495056326</v>
      </c>
      <c r="T8" s="9" t="s">
        <v>96</v>
      </c>
      <c r="U8" s="61">
        <f>+IRR(U7:Z7)</f>
        <v>-0.64051896495056326</v>
      </c>
    </row>
    <row r="9" spans="1:26" x14ac:dyDescent="0.2">
      <c r="D9" s="9" t="s">
        <v>10</v>
      </c>
      <c r="E9" s="62">
        <f>+NPV($B$3,F7:J7)+E7</f>
        <v>135.54627566752146</v>
      </c>
      <c r="L9" s="9" t="s">
        <v>10</v>
      </c>
      <c r="M9" s="62">
        <f>+NPV($B$3,N7:R7)+M7</f>
        <v>135.54627566752146</v>
      </c>
      <c r="T9" s="9" t="s">
        <v>10</v>
      </c>
      <c r="U9" s="62">
        <f>+NPV($B$3,V7:Z7)+U7</f>
        <v>135.54627566752146</v>
      </c>
    </row>
    <row r="12" spans="1:26" x14ac:dyDescent="0.2">
      <c r="D12" s="9" t="s">
        <v>7</v>
      </c>
      <c r="E12" s="9"/>
      <c r="F12" s="9"/>
      <c r="G12" s="9"/>
      <c r="H12" s="9"/>
      <c r="I12" s="9"/>
      <c r="J12" s="9"/>
      <c r="L12" s="9" t="s">
        <v>35</v>
      </c>
      <c r="M12" s="9"/>
      <c r="N12" s="9"/>
      <c r="O12" s="9"/>
      <c r="P12" s="9"/>
      <c r="Q12" s="9"/>
      <c r="R12" s="9"/>
      <c r="T12" s="9" t="s">
        <v>37</v>
      </c>
      <c r="U12" s="9"/>
      <c r="V12" s="9"/>
      <c r="W12" s="9"/>
      <c r="X12" s="9"/>
      <c r="Y12" s="9"/>
      <c r="Z12" s="9"/>
    </row>
    <row r="13" spans="1:26" x14ac:dyDescent="0.2">
      <c r="D13" s="9" t="s">
        <v>2</v>
      </c>
      <c r="E13" s="9"/>
      <c r="F13" s="9">
        <v>60</v>
      </c>
      <c r="G13" s="9">
        <v>50</v>
      </c>
      <c r="H13" s="9">
        <v>50</v>
      </c>
      <c r="I13" s="9">
        <v>40</v>
      </c>
      <c r="J13" s="9">
        <v>35</v>
      </c>
      <c r="L13" s="9" t="s">
        <v>2</v>
      </c>
      <c r="M13" s="9"/>
      <c r="N13" s="9">
        <v>70</v>
      </c>
      <c r="O13" s="9">
        <v>80</v>
      </c>
      <c r="P13" s="9">
        <v>90</v>
      </c>
      <c r="Q13" s="9">
        <v>100</v>
      </c>
      <c r="R13" s="9">
        <v>110</v>
      </c>
      <c r="T13" s="9" t="s">
        <v>2</v>
      </c>
      <c r="U13" s="9"/>
      <c r="V13" s="9">
        <v>70</v>
      </c>
      <c r="W13" s="9">
        <v>90</v>
      </c>
      <c r="X13" s="9">
        <v>110</v>
      </c>
      <c r="Y13" s="9">
        <v>130</v>
      </c>
      <c r="Z13" s="9">
        <v>150</v>
      </c>
    </row>
    <row r="14" spans="1:26" x14ac:dyDescent="0.2">
      <c r="D14" s="9" t="s">
        <v>3</v>
      </c>
      <c r="E14" s="9"/>
      <c r="F14" s="9">
        <v>-30</v>
      </c>
      <c r="G14" s="9">
        <v>-30</v>
      </c>
      <c r="H14" s="9">
        <v>-30</v>
      </c>
      <c r="I14" s="9">
        <v>-30</v>
      </c>
      <c r="J14" s="9">
        <v>-30</v>
      </c>
      <c r="L14" s="9" t="s">
        <v>3</v>
      </c>
      <c r="M14" s="9"/>
      <c r="N14" s="9">
        <v>-40</v>
      </c>
      <c r="O14" s="9">
        <v>-40</v>
      </c>
      <c r="P14" s="9">
        <v>-40</v>
      </c>
      <c r="Q14" s="9">
        <v>-40</v>
      </c>
      <c r="R14" s="9">
        <v>-30</v>
      </c>
      <c r="T14" s="9" t="s">
        <v>3</v>
      </c>
      <c r="U14" s="9"/>
      <c r="V14" s="9">
        <v>-40</v>
      </c>
      <c r="W14" s="9">
        <v>-40</v>
      </c>
      <c r="X14" s="9">
        <v>-40</v>
      </c>
      <c r="Y14" s="9">
        <v>-40</v>
      </c>
      <c r="Z14" s="9">
        <v>-40</v>
      </c>
    </row>
    <row r="15" spans="1:26" x14ac:dyDescent="0.2">
      <c r="D15" s="9" t="s">
        <v>4</v>
      </c>
      <c r="E15" s="9">
        <v>40</v>
      </c>
      <c r="F15" s="9"/>
      <c r="G15" s="9"/>
      <c r="H15" s="9"/>
      <c r="I15" s="9"/>
      <c r="J15" s="9"/>
      <c r="L15" s="9" t="s">
        <v>4</v>
      </c>
      <c r="M15" s="9"/>
      <c r="N15" s="9"/>
      <c r="O15" s="9"/>
      <c r="P15" s="9"/>
      <c r="Q15" s="9"/>
      <c r="R15" s="9"/>
      <c r="T15" s="9" t="s">
        <v>4</v>
      </c>
      <c r="U15" s="9"/>
      <c r="V15" s="9"/>
      <c r="W15" s="9"/>
      <c r="X15" s="9"/>
      <c r="Y15" s="9"/>
      <c r="Z15" s="9"/>
    </row>
    <row r="16" spans="1:26" x14ac:dyDescent="0.2">
      <c r="D16" s="9" t="s">
        <v>6</v>
      </c>
      <c r="E16" s="9">
        <v>-40</v>
      </c>
      <c r="F16" s="9"/>
      <c r="G16" s="9"/>
      <c r="H16" s="9"/>
      <c r="I16" s="9"/>
      <c r="J16" s="9"/>
      <c r="L16" s="9" t="s">
        <v>6</v>
      </c>
      <c r="M16" s="9">
        <v>-80</v>
      </c>
      <c r="N16" s="9">
        <v>-20</v>
      </c>
      <c r="O16" s="9">
        <v>-20</v>
      </c>
      <c r="P16" s="9"/>
      <c r="Q16" s="9"/>
      <c r="R16" s="9"/>
      <c r="T16" s="9" t="s">
        <v>6</v>
      </c>
      <c r="U16" s="9">
        <v>-80</v>
      </c>
      <c r="V16" s="9">
        <v>-20</v>
      </c>
      <c r="W16" s="9">
        <v>-20</v>
      </c>
      <c r="X16" s="9">
        <v>-20</v>
      </c>
      <c r="Y16" s="9">
        <v>-20</v>
      </c>
      <c r="Z16" s="9">
        <v>-20</v>
      </c>
    </row>
    <row r="17" spans="2:26" ht="16" thickBot="1" x14ac:dyDescent="0.25">
      <c r="D17" s="59" t="s">
        <v>5</v>
      </c>
      <c r="E17" s="59">
        <v>0</v>
      </c>
      <c r="F17" s="59">
        <v>30</v>
      </c>
      <c r="G17" s="59">
        <v>20</v>
      </c>
      <c r="H17" s="59">
        <v>20</v>
      </c>
      <c r="I17" s="59">
        <v>10</v>
      </c>
      <c r="J17" s="59">
        <v>5</v>
      </c>
      <c r="L17" s="43" t="s">
        <v>5</v>
      </c>
      <c r="M17" s="43">
        <f>+SUM(M13:M16)</f>
        <v>-80</v>
      </c>
      <c r="N17" s="43">
        <f t="shared" ref="N17:R17" si="0">+SUM(N13:N16)</f>
        <v>10</v>
      </c>
      <c r="O17" s="43">
        <f t="shared" si="0"/>
        <v>20</v>
      </c>
      <c r="P17" s="43">
        <f t="shared" si="0"/>
        <v>50</v>
      </c>
      <c r="Q17" s="43">
        <f t="shared" si="0"/>
        <v>60</v>
      </c>
      <c r="R17" s="43">
        <f t="shared" si="0"/>
        <v>80</v>
      </c>
      <c r="T17" s="43" t="s">
        <v>5</v>
      </c>
      <c r="U17" s="43">
        <f>+SUM(U13:U16)</f>
        <v>-80</v>
      </c>
      <c r="V17" s="43">
        <f t="shared" ref="V17:Z17" si="1">+SUM(V13:V16)</f>
        <v>10</v>
      </c>
      <c r="W17" s="43">
        <f>+SUM(W13:W16)</f>
        <v>30</v>
      </c>
      <c r="X17" s="43">
        <f t="shared" si="1"/>
        <v>50</v>
      </c>
      <c r="Y17" s="43">
        <f t="shared" si="1"/>
        <v>70</v>
      </c>
      <c r="Z17" s="43">
        <f t="shared" si="1"/>
        <v>90</v>
      </c>
    </row>
    <row r="18" spans="2:26" x14ac:dyDescent="0.2">
      <c r="D18" s="9" t="s">
        <v>96</v>
      </c>
      <c r="E18" s="61" t="e">
        <f>+IRR(E17:J17)</f>
        <v>#NUM!</v>
      </c>
      <c r="L18" s="9" t="s">
        <v>96</v>
      </c>
      <c r="M18" s="61">
        <f>+IRR(M17:R17)</f>
        <v>0.32250855917251275</v>
      </c>
      <c r="T18" s="63" t="s">
        <v>96</v>
      </c>
      <c r="U18" s="64">
        <f>+IRR(U17:Z17)</f>
        <v>0.37639194531382536</v>
      </c>
    </row>
    <row r="19" spans="2:26" x14ac:dyDescent="0.2">
      <c r="D19" s="9" t="s">
        <v>10</v>
      </c>
      <c r="E19" s="62">
        <f>+NPV($B$3,F17:J17)+E17</f>
        <v>76.133425691480213</v>
      </c>
      <c r="L19" s="63" t="s">
        <v>10</v>
      </c>
      <c r="M19" s="65">
        <f>+NPV($B$3,N17:R17)+M17</f>
        <v>102.90052082453391</v>
      </c>
      <c r="T19" s="63" t="s">
        <v>10</v>
      </c>
      <c r="U19" s="65">
        <f>+NPV($B$3,V17:Z17)+U17</f>
        <v>128.03310202171784</v>
      </c>
    </row>
    <row r="21" spans="2:26" x14ac:dyDescent="0.2">
      <c r="D21" s="9" t="s">
        <v>91</v>
      </c>
      <c r="E21" s="9"/>
      <c r="F21" s="9"/>
      <c r="G21" s="9"/>
      <c r="H21" s="9"/>
      <c r="I21" s="9"/>
      <c r="J21" s="9"/>
      <c r="L21" s="9" t="s">
        <v>98</v>
      </c>
      <c r="M21" s="9"/>
      <c r="N21" s="9"/>
      <c r="O21" s="9"/>
      <c r="P21" s="9"/>
      <c r="Q21" s="9"/>
      <c r="R21" s="9"/>
      <c r="T21" s="9" t="s">
        <v>99</v>
      </c>
      <c r="U21" s="9"/>
      <c r="V21" s="9"/>
      <c r="W21" s="9"/>
      <c r="X21" s="9"/>
      <c r="Y21" s="9"/>
      <c r="Z21" s="9"/>
    </row>
    <row r="22" spans="2:26" x14ac:dyDescent="0.2">
      <c r="D22" s="9" t="s">
        <v>2</v>
      </c>
      <c r="E22" s="9">
        <f>+E13-E3</f>
        <v>0</v>
      </c>
      <c r="F22" s="9">
        <f>+F13-F3</f>
        <v>0</v>
      </c>
      <c r="G22" s="9">
        <f t="shared" ref="E22:J26" si="2">+G13-G3</f>
        <v>0</v>
      </c>
      <c r="H22" s="9">
        <f t="shared" si="2"/>
        <v>10</v>
      </c>
      <c r="I22" s="9">
        <f t="shared" si="2"/>
        <v>5</v>
      </c>
      <c r="J22" s="9">
        <f t="shared" si="2"/>
        <v>10</v>
      </c>
      <c r="L22" s="9" t="s">
        <v>2</v>
      </c>
      <c r="M22" s="9">
        <f>+M13-M3</f>
        <v>0</v>
      </c>
      <c r="N22" s="9">
        <f t="shared" ref="M22:R26" si="3">+N13-N3</f>
        <v>10</v>
      </c>
      <c r="O22" s="9">
        <f t="shared" si="3"/>
        <v>30</v>
      </c>
      <c r="P22" s="9">
        <f t="shared" si="3"/>
        <v>50</v>
      </c>
      <c r="Q22" s="9">
        <f t="shared" si="3"/>
        <v>65</v>
      </c>
      <c r="R22" s="9">
        <f t="shared" si="3"/>
        <v>85</v>
      </c>
      <c r="T22" s="9" t="s">
        <v>2</v>
      </c>
      <c r="U22" s="9">
        <f t="shared" ref="U22:Z26" si="4">+U13-U3</f>
        <v>0</v>
      </c>
      <c r="V22" s="9">
        <f t="shared" si="4"/>
        <v>10</v>
      </c>
      <c r="W22" s="9">
        <f t="shared" si="4"/>
        <v>40</v>
      </c>
      <c r="X22" s="9">
        <f t="shared" si="4"/>
        <v>70</v>
      </c>
      <c r="Y22" s="9">
        <f t="shared" si="4"/>
        <v>95</v>
      </c>
      <c r="Z22" s="9">
        <f t="shared" si="4"/>
        <v>125</v>
      </c>
    </row>
    <row r="23" spans="2:26" x14ac:dyDescent="0.2">
      <c r="D23" s="9" t="s">
        <v>3</v>
      </c>
      <c r="E23" s="9">
        <f t="shared" si="2"/>
        <v>0</v>
      </c>
      <c r="F23" s="9">
        <f>+F14-F4</f>
        <v>0</v>
      </c>
      <c r="G23" s="9">
        <f t="shared" si="2"/>
        <v>0</v>
      </c>
      <c r="H23" s="9">
        <f t="shared" si="2"/>
        <v>0</v>
      </c>
      <c r="I23" s="9">
        <f t="shared" si="2"/>
        <v>0</v>
      </c>
      <c r="J23" s="9">
        <f t="shared" si="2"/>
        <v>0</v>
      </c>
      <c r="L23" s="9" t="s">
        <v>3</v>
      </c>
      <c r="M23" s="9">
        <f t="shared" si="3"/>
        <v>0</v>
      </c>
      <c r="N23" s="9">
        <f t="shared" si="3"/>
        <v>-10</v>
      </c>
      <c r="O23" s="9">
        <f t="shared" si="3"/>
        <v>-10</v>
      </c>
      <c r="P23" s="9">
        <f t="shared" si="3"/>
        <v>-10</v>
      </c>
      <c r="Q23" s="9">
        <f t="shared" si="3"/>
        <v>-10</v>
      </c>
      <c r="R23" s="9">
        <f t="shared" si="3"/>
        <v>0</v>
      </c>
      <c r="T23" s="9" t="s">
        <v>3</v>
      </c>
      <c r="U23" s="9">
        <f t="shared" si="4"/>
        <v>0</v>
      </c>
      <c r="V23" s="9">
        <f t="shared" si="4"/>
        <v>-10</v>
      </c>
      <c r="W23" s="9">
        <f t="shared" si="4"/>
        <v>-10</v>
      </c>
      <c r="X23" s="9">
        <f t="shared" si="4"/>
        <v>-10</v>
      </c>
      <c r="Y23" s="9">
        <f t="shared" si="4"/>
        <v>-10</v>
      </c>
      <c r="Z23" s="9">
        <f t="shared" si="4"/>
        <v>-10</v>
      </c>
    </row>
    <row r="24" spans="2:26" x14ac:dyDescent="0.2">
      <c r="D24" s="9" t="s">
        <v>4</v>
      </c>
      <c r="E24" s="9">
        <f t="shared" si="2"/>
        <v>-40</v>
      </c>
      <c r="F24" s="9">
        <f>+F15-F5</f>
        <v>0</v>
      </c>
      <c r="G24" s="9">
        <f t="shared" si="2"/>
        <v>0</v>
      </c>
      <c r="H24" s="9">
        <f t="shared" si="2"/>
        <v>0</v>
      </c>
      <c r="I24" s="9">
        <f t="shared" si="2"/>
        <v>0</v>
      </c>
      <c r="J24" s="9">
        <f t="shared" si="2"/>
        <v>0</v>
      </c>
      <c r="L24" s="9" t="s">
        <v>4</v>
      </c>
      <c r="M24" s="9">
        <f t="shared" si="3"/>
        <v>-80</v>
      </c>
      <c r="N24" s="9">
        <f t="shared" si="3"/>
        <v>0</v>
      </c>
      <c r="O24" s="9">
        <f t="shared" si="3"/>
        <v>0</v>
      </c>
      <c r="P24" s="9">
        <f t="shared" si="3"/>
        <v>0</v>
      </c>
      <c r="Q24" s="9">
        <f t="shared" si="3"/>
        <v>0</v>
      </c>
      <c r="R24" s="9">
        <f t="shared" si="3"/>
        <v>0</v>
      </c>
      <c r="T24" s="9" t="s">
        <v>4</v>
      </c>
      <c r="U24" s="9">
        <f t="shared" si="4"/>
        <v>-80</v>
      </c>
      <c r="V24" s="9">
        <f t="shared" si="4"/>
        <v>0</v>
      </c>
      <c r="W24" s="9">
        <f t="shared" si="4"/>
        <v>0</v>
      </c>
      <c r="X24" s="9">
        <f t="shared" si="4"/>
        <v>0</v>
      </c>
      <c r="Y24" s="9">
        <f t="shared" si="4"/>
        <v>0</v>
      </c>
      <c r="Z24" s="9">
        <f t="shared" si="4"/>
        <v>0</v>
      </c>
    </row>
    <row r="25" spans="2:26" x14ac:dyDescent="0.2">
      <c r="D25" s="9" t="s">
        <v>6</v>
      </c>
      <c r="E25" s="9">
        <f t="shared" si="2"/>
        <v>-40</v>
      </c>
      <c r="F25" s="9">
        <f t="shared" si="2"/>
        <v>0</v>
      </c>
      <c r="G25" s="9">
        <f t="shared" si="2"/>
        <v>0</v>
      </c>
      <c r="H25" s="9">
        <f t="shared" si="2"/>
        <v>0</v>
      </c>
      <c r="I25" s="9">
        <f t="shared" si="2"/>
        <v>0</v>
      </c>
      <c r="J25" s="9">
        <f t="shared" si="2"/>
        <v>0</v>
      </c>
      <c r="L25" s="9" t="s">
        <v>6</v>
      </c>
      <c r="M25" s="9">
        <f t="shared" si="3"/>
        <v>-80</v>
      </c>
      <c r="N25" s="9">
        <f t="shared" si="3"/>
        <v>-20</v>
      </c>
      <c r="O25" s="9">
        <f t="shared" si="3"/>
        <v>-20</v>
      </c>
      <c r="P25" s="9">
        <f t="shared" si="3"/>
        <v>0</v>
      </c>
      <c r="Q25" s="9">
        <f t="shared" si="3"/>
        <v>0</v>
      </c>
      <c r="R25" s="9">
        <f t="shared" si="3"/>
        <v>0</v>
      </c>
      <c r="T25" s="9" t="s">
        <v>6</v>
      </c>
      <c r="U25" s="9">
        <f t="shared" si="4"/>
        <v>-80</v>
      </c>
      <c r="V25" s="9">
        <f t="shared" si="4"/>
        <v>-20</v>
      </c>
      <c r="W25" s="9">
        <f t="shared" si="4"/>
        <v>-20</v>
      </c>
      <c r="X25" s="9">
        <f t="shared" si="4"/>
        <v>-20</v>
      </c>
      <c r="Y25" s="9">
        <f t="shared" si="4"/>
        <v>-20</v>
      </c>
      <c r="Z25" s="9">
        <f t="shared" si="4"/>
        <v>-20</v>
      </c>
    </row>
    <row r="26" spans="2:26" ht="16" thickBot="1" x14ac:dyDescent="0.25">
      <c r="D26" s="59" t="s">
        <v>5</v>
      </c>
      <c r="E26" s="60">
        <f>+E17-E7</f>
        <v>-80</v>
      </c>
      <c r="F26" s="60">
        <f t="shared" si="2"/>
        <v>0</v>
      </c>
      <c r="G26" s="60">
        <f t="shared" si="2"/>
        <v>0</v>
      </c>
      <c r="H26" s="60">
        <f t="shared" si="2"/>
        <v>10</v>
      </c>
      <c r="I26" s="60">
        <f t="shared" si="2"/>
        <v>5</v>
      </c>
      <c r="J26" s="60">
        <f t="shared" si="2"/>
        <v>10</v>
      </c>
      <c r="L26" s="59" t="s">
        <v>5</v>
      </c>
      <c r="M26" s="60">
        <f t="shared" si="3"/>
        <v>-160</v>
      </c>
      <c r="N26" s="60">
        <f t="shared" si="3"/>
        <v>-20</v>
      </c>
      <c r="O26" s="60">
        <f t="shared" si="3"/>
        <v>0</v>
      </c>
      <c r="P26" s="60">
        <f t="shared" si="3"/>
        <v>40</v>
      </c>
      <c r="Q26" s="60">
        <f t="shared" si="3"/>
        <v>55</v>
      </c>
      <c r="R26" s="60">
        <f t="shared" si="3"/>
        <v>85</v>
      </c>
      <c r="T26" s="59" t="s">
        <v>5</v>
      </c>
      <c r="U26" s="60">
        <f t="shared" si="4"/>
        <v>-160</v>
      </c>
      <c r="V26" s="60">
        <f t="shared" si="4"/>
        <v>-20</v>
      </c>
      <c r="W26" s="60">
        <f t="shared" si="4"/>
        <v>10</v>
      </c>
      <c r="X26" s="60">
        <f t="shared" si="4"/>
        <v>40</v>
      </c>
      <c r="Y26" s="60">
        <f t="shared" si="4"/>
        <v>65</v>
      </c>
      <c r="Z26" s="60">
        <f t="shared" si="4"/>
        <v>95</v>
      </c>
    </row>
    <row r="27" spans="2:26" x14ac:dyDescent="0.2">
      <c r="D27" s="63" t="s">
        <v>96</v>
      </c>
      <c r="E27" s="66">
        <f>+IRR(E26:J26)</f>
        <v>-0.24637490000142659</v>
      </c>
      <c r="L27" s="63" t="s">
        <v>96</v>
      </c>
      <c r="M27" s="64">
        <f>+IRR(M26:R26)</f>
        <v>2.2204460492503131E-16</v>
      </c>
      <c r="T27" s="63" t="s">
        <v>96</v>
      </c>
      <c r="U27" s="66">
        <f>+IRR(U26:Z26)</f>
        <v>3.8874448835606978E-2</v>
      </c>
    </row>
    <row r="28" spans="2:26" x14ac:dyDescent="0.2">
      <c r="D28" s="9" t="s">
        <v>10</v>
      </c>
      <c r="E28" s="62">
        <f>+NPV($B$3,F26:J26)+E26</f>
        <v>-59.412849976041244</v>
      </c>
      <c r="H28" t="s">
        <v>7</v>
      </c>
      <c r="I28" s="5" t="s">
        <v>14</v>
      </c>
      <c r="L28" s="9" t="s">
        <v>10</v>
      </c>
      <c r="M28" s="62">
        <f>+NPV($B$3,N26:R26)+M26</f>
        <v>-32.645754842987486</v>
      </c>
      <c r="Q28" s="5" t="s">
        <v>14</v>
      </c>
      <c r="T28" s="9" t="s">
        <v>10</v>
      </c>
      <c r="U28" s="62">
        <f>+NPV($B$3,V26:Z26)+U26</f>
        <v>-7.5131736458035903</v>
      </c>
      <c r="Y28" s="5" t="s">
        <v>14</v>
      </c>
    </row>
    <row r="29" spans="2:26" x14ac:dyDescent="0.2">
      <c r="H29" s="6" t="s">
        <v>15</v>
      </c>
      <c r="I29" s="7">
        <f>+NPV($B$3,F26:J26)</f>
        <v>20.58715002395876</v>
      </c>
      <c r="P29" s="6" t="s">
        <v>15</v>
      </c>
      <c r="Q29" s="7">
        <f>+NPV($B$3,N26:R26)</f>
        <v>127.35424515701251</v>
      </c>
      <c r="X29" s="6" t="s">
        <v>15</v>
      </c>
      <c r="Y29" s="7">
        <f>+NPV($B$3,V26:Z26)</f>
        <v>152.48682635419641</v>
      </c>
    </row>
    <row r="30" spans="2:26" x14ac:dyDescent="0.2">
      <c r="B30" s="79" t="s">
        <v>103</v>
      </c>
      <c r="C30" s="3" t="s">
        <v>1</v>
      </c>
      <c r="D30" s="79" t="s">
        <v>10</v>
      </c>
      <c r="E30" s="3">
        <v>135.54627566752146</v>
      </c>
      <c r="H30" s="6" t="s">
        <v>16</v>
      </c>
      <c r="I30" s="8">
        <f>-E26*EXP(I32*I31)</f>
        <v>84</v>
      </c>
      <c r="P30" s="6" t="s">
        <v>16</v>
      </c>
      <c r="Q30" s="8">
        <f>-M26*EXP(Q32*Q31)</f>
        <v>168</v>
      </c>
      <c r="X30" s="6" t="s">
        <v>16</v>
      </c>
      <c r="Y30" s="8">
        <f>-U26*EXP(Y32*Y31)</f>
        <v>168</v>
      </c>
    </row>
    <row r="31" spans="2:26" x14ac:dyDescent="0.2">
      <c r="B31" s="79"/>
      <c r="C31" s="3" t="s">
        <v>100</v>
      </c>
      <c r="D31" s="79"/>
      <c r="E31" s="67">
        <f>+E28</f>
        <v>-59.412849976041244</v>
      </c>
      <c r="H31" s="6" t="s">
        <v>17</v>
      </c>
      <c r="I31" s="9">
        <v>1</v>
      </c>
      <c r="P31" s="6" t="s">
        <v>17</v>
      </c>
      <c r="Q31" s="9">
        <v>1</v>
      </c>
      <c r="X31" s="6" t="s">
        <v>17</v>
      </c>
      <c r="Y31" s="9">
        <v>1</v>
      </c>
    </row>
    <row r="32" spans="2:26" x14ac:dyDescent="0.2">
      <c r="B32" s="79"/>
      <c r="C32" s="3" t="s">
        <v>101</v>
      </c>
      <c r="D32" s="79"/>
      <c r="E32" s="67">
        <f>+M28</f>
        <v>-32.645754842987486</v>
      </c>
      <c r="H32" s="6" t="s">
        <v>18</v>
      </c>
      <c r="I32" s="10">
        <f>+B4</f>
        <v>4.8790164169432049E-2</v>
      </c>
      <c r="P32" s="6" t="s">
        <v>18</v>
      </c>
      <c r="Q32" s="10">
        <f>+B4</f>
        <v>4.8790164169432049E-2</v>
      </c>
      <c r="X32" s="6" t="s">
        <v>18</v>
      </c>
      <c r="Y32" s="10">
        <f>+B4</f>
        <v>4.8790164169432049E-2</v>
      </c>
    </row>
    <row r="33" spans="2:25" x14ac:dyDescent="0.2">
      <c r="B33" s="79"/>
      <c r="C33" s="3" t="s">
        <v>102</v>
      </c>
      <c r="D33" s="79"/>
      <c r="E33" s="67">
        <f>+U28</f>
        <v>-7.5131736458035903</v>
      </c>
      <c r="H33" s="6" t="s">
        <v>11</v>
      </c>
      <c r="I33" s="17">
        <f>+B5</f>
        <v>0.08</v>
      </c>
      <c r="P33" s="6" t="s">
        <v>11</v>
      </c>
      <c r="Q33" s="17">
        <f>+B6</f>
        <v>0.18</v>
      </c>
      <c r="X33" s="6" t="s">
        <v>11</v>
      </c>
      <c r="Y33" s="17">
        <f>+B7</f>
        <v>0.28000000000000003</v>
      </c>
    </row>
    <row r="34" spans="2:25" x14ac:dyDescent="0.2">
      <c r="H34" s="12" t="s">
        <v>19</v>
      </c>
      <c r="I34" s="9">
        <f>(LN(I29/I30)+(I32+I33*I33*0.5)*I31)/(I33*SQRT(I31))</f>
        <v>-16.926994234475334</v>
      </c>
      <c r="P34" s="12" t="s">
        <v>19</v>
      </c>
      <c r="Q34" s="9">
        <f>(LN(Q29/Q30)+(Q32+Q33*Q33*0.5)*Q31)/(Q33*SQRT(Q31))</f>
        <v>-1.1777848877649486</v>
      </c>
      <c r="X34" s="12" t="s">
        <v>19</v>
      </c>
      <c r="Y34" s="9">
        <f>(LN(Y29/Y30)+(Y32+Y33*Y33*0.5)*Y31)/(Y33*SQRT(Y31))</f>
        <v>-3.1770026715600821E-2</v>
      </c>
    </row>
    <row r="35" spans="2:25" x14ac:dyDescent="0.2">
      <c r="B35" s="79" t="s">
        <v>73</v>
      </c>
      <c r="C35" s="3" t="s">
        <v>1</v>
      </c>
      <c r="D35" s="79" t="s">
        <v>104</v>
      </c>
      <c r="E35" s="68"/>
      <c r="H35" s="12" t="s">
        <v>20</v>
      </c>
      <c r="I35" s="9">
        <f>+I34-I33*SQRT(I31)</f>
        <v>-17.006994234475332</v>
      </c>
      <c r="P35" s="12" t="s">
        <v>20</v>
      </c>
      <c r="Q35" s="9">
        <f>+Q34-Q33*SQRT(Q31)</f>
        <v>-1.3577848877649485</v>
      </c>
      <c r="X35" s="12" t="s">
        <v>20</v>
      </c>
      <c r="Y35" s="9">
        <f>+Y34-Y33*SQRT(Y31)</f>
        <v>-0.31177002671560083</v>
      </c>
    </row>
    <row r="36" spans="2:25" x14ac:dyDescent="0.2">
      <c r="B36" s="79"/>
      <c r="C36" s="3" t="s">
        <v>100</v>
      </c>
      <c r="D36" s="79"/>
      <c r="E36" s="68">
        <f>+I40</f>
        <v>1.3683866884979157E-65</v>
      </c>
      <c r="H36" s="13" t="s">
        <v>21</v>
      </c>
      <c r="I36" s="14">
        <f>_xlfn.NORM.DIST(I34,0,1,1)</f>
        <v>1.422720228489346E-64</v>
      </c>
      <c r="P36" s="13" t="s">
        <v>21</v>
      </c>
      <c r="Q36" s="14">
        <f>_xlfn.NORM.DIST(Q34,0,1,1)</f>
        <v>0.1194411874270252</v>
      </c>
      <c r="X36" s="13" t="s">
        <v>21</v>
      </c>
      <c r="Y36" s="14">
        <f>_xlfn.NORM.DIST(Y34,0,1,1)</f>
        <v>0.48732772489046483</v>
      </c>
    </row>
    <row r="37" spans="2:25" x14ac:dyDescent="0.2">
      <c r="B37" s="79"/>
      <c r="C37" s="3" t="s">
        <v>101</v>
      </c>
      <c r="D37" s="79"/>
      <c r="E37" s="68">
        <f>+Q40</f>
        <v>1.2487861394016448</v>
      </c>
      <c r="H37" s="13" t="s">
        <v>22</v>
      </c>
      <c r="I37" s="14">
        <f>_xlfn.NORM.DIST(I35,0,1,1)</f>
        <v>3.644114514647658E-65</v>
      </c>
      <c r="P37" s="13" t="s">
        <v>22</v>
      </c>
      <c r="Q37" s="14">
        <f>_xlfn.NORM.DIST(Q35,0,1,1)</f>
        <v>8.7265975787652522E-2</v>
      </c>
      <c r="X37" s="13" t="s">
        <v>22</v>
      </c>
      <c r="Y37" s="14">
        <f>_xlfn.NORM.DIST(Y35,0,1,1)</f>
        <v>0.37760765233290816</v>
      </c>
    </row>
    <row r="38" spans="2:25" x14ac:dyDescent="0.2">
      <c r="B38" s="79"/>
      <c r="C38" s="3" t="s">
        <v>102</v>
      </c>
      <c r="D38" s="79"/>
      <c r="E38" s="68">
        <f>+Y40</f>
        <v>13.8938337896926</v>
      </c>
      <c r="H38" s="13" t="s">
        <v>23</v>
      </c>
      <c r="I38" s="14">
        <f>_xlfn.NORM.DIST(-I34,0,1,1)</f>
        <v>1</v>
      </c>
      <c r="P38" s="13" t="s">
        <v>23</v>
      </c>
      <c r="Q38" s="14">
        <f>_xlfn.NORM.DIST(-Q34,0,1,1)</f>
        <v>0.88055881257297486</v>
      </c>
      <c r="X38" s="13" t="s">
        <v>23</v>
      </c>
      <c r="Y38" s="14">
        <f>_xlfn.NORM.DIST(-Y34,0,1,1)</f>
        <v>0.51267227510953517</v>
      </c>
    </row>
    <row r="39" spans="2:25" x14ac:dyDescent="0.2">
      <c r="H39" s="13" t="s">
        <v>24</v>
      </c>
      <c r="I39" s="14">
        <f>_xlfn.NORM.DIST(-I35,0,1,1)</f>
        <v>1</v>
      </c>
      <c r="P39" s="13" t="s">
        <v>24</v>
      </c>
      <c r="Q39" s="14">
        <f>_xlfn.NORM.DIST(-Q35,0,1,1)</f>
        <v>0.91273402421234751</v>
      </c>
      <c r="X39" s="13" t="s">
        <v>24</v>
      </c>
      <c r="Y39" s="14">
        <f>_xlfn.NORM.DIST(-Y35,0,1,1)</f>
        <v>0.62239234766709184</v>
      </c>
    </row>
    <row r="40" spans="2:25" x14ac:dyDescent="0.2">
      <c r="B40" s="79" t="s">
        <v>106</v>
      </c>
      <c r="C40" s="3" t="s">
        <v>1</v>
      </c>
      <c r="D40" s="79" t="s">
        <v>105</v>
      </c>
      <c r="E40" s="68"/>
      <c r="H40" s="18" t="s">
        <v>25</v>
      </c>
      <c r="I40" s="20">
        <f>+I29*I36-I30*EXP(-I32*I31)*I37</f>
        <v>1.3683866884979157E-65</v>
      </c>
      <c r="P40" s="18" t="s">
        <v>25</v>
      </c>
      <c r="Q40" s="20">
        <f>+Q29*Q36-Q30*EXP(-Q32*Q31)*Q37</f>
        <v>1.2487861394016448</v>
      </c>
      <c r="X40" s="18" t="s">
        <v>25</v>
      </c>
      <c r="Y40" s="20">
        <f>+Y29*Y36-Y30*EXP(-Y32*Y31)*Y37</f>
        <v>13.8938337896926</v>
      </c>
    </row>
    <row r="41" spans="2:25" x14ac:dyDescent="0.2">
      <c r="B41" s="79"/>
      <c r="C41" s="3" t="s">
        <v>100</v>
      </c>
      <c r="D41" s="79"/>
      <c r="E41" s="68">
        <f>+I41</f>
        <v>-59.412849976041244</v>
      </c>
      <c r="H41" s="18" t="s">
        <v>28</v>
      </c>
      <c r="I41" s="18">
        <f>+IF(I29&gt;I30,I40,I40+E28)</f>
        <v>-59.412849976041244</v>
      </c>
      <c r="P41" s="18" t="s">
        <v>28</v>
      </c>
      <c r="Q41" s="18">
        <f>+IF(Q29&gt;Q30,Q40,Q40+M28)</f>
        <v>-31.396968703585841</v>
      </c>
      <c r="X41" s="18" t="s">
        <v>28</v>
      </c>
      <c r="Y41" s="18">
        <f>+IF(Y29&gt;Y30,Y40,Y40+U28)</f>
        <v>6.3806601438890098</v>
      </c>
    </row>
    <row r="42" spans="2:25" x14ac:dyDescent="0.2">
      <c r="B42" s="79"/>
      <c r="C42" s="3" t="s">
        <v>101</v>
      </c>
      <c r="D42" s="79"/>
      <c r="E42" s="68">
        <f>+Q41</f>
        <v>-31.396968703585841</v>
      </c>
    </row>
    <row r="43" spans="2:25" x14ac:dyDescent="0.2">
      <c r="B43" s="79"/>
      <c r="C43" s="3" t="s">
        <v>102</v>
      </c>
      <c r="D43" s="79"/>
      <c r="E43" s="68">
        <f>+Y41</f>
        <v>6.3806601438890098</v>
      </c>
    </row>
    <row r="45" spans="2:25" x14ac:dyDescent="0.2">
      <c r="B45" s="79" t="s">
        <v>107</v>
      </c>
      <c r="C45" s="80" t="s">
        <v>108</v>
      </c>
      <c r="D45" s="80"/>
      <c r="E45" s="80"/>
    </row>
    <row r="46" spans="2:25" x14ac:dyDescent="0.2">
      <c r="B46" s="79"/>
      <c r="C46" s="80"/>
      <c r="D46" s="80"/>
      <c r="E46" s="80"/>
    </row>
    <row r="47" spans="2:25" x14ac:dyDescent="0.2">
      <c r="B47" s="79"/>
      <c r="C47" s="80"/>
      <c r="D47" s="80"/>
      <c r="E47" s="80"/>
    </row>
    <row r="48" spans="2:25" x14ac:dyDescent="0.2">
      <c r="B48" s="79"/>
      <c r="C48" s="80"/>
      <c r="D48" s="80"/>
      <c r="E48" s="80"/>
    </row>
  </sheetData>
  <mergeCells count="8">
    <mergeCell ref="B45:B48"/>
    <mergeCell ref="C45:E48"/>
    <mergeCell ref="B30:B33"/>
    <mergeCell ref="D30:D33"/>
    <mergeCell ref="B35:B38"/>
    <mergeCell ref="D35:D38"/>
    <mergeCell ref="B40:B43"/>
    <mergeCell ref="D40:D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C2EF1-F91A-47E2-9535-76F9D07A806E}">
  <dimension ref="A1:J27"/>
  <sheetViews>
    <sheetView zoomScale="115" zoomScaleNormal="115" workbookViewId="0">
      <selection activeCell="E30" sqref="E30"/>
    </sheetView>
  </sheetViews>
  <sheetFormatPr baseColWidth="10" defaultColWidth="11.5" defaultRowHeight="15" x14ac:dyDescent="0.2"/>
  <cols>
    <col min="1" max="1" width="11.5" style="21"/>
    <col min="2" max="2" width="14.5" style="21" customWidth="1"/>
    <col min="3" max="16384" width="11.5" style="21"/>
  </cols>
  <sheetData>
    <row r="1" spans="1:10" x14ac:dyDescent="0.2">
      <c r="A1" s="28"/>
      <c r="B1" s="28">
        <v>0</v>
      </c>
      <c r="C1" s="28">
        <v>1</v>
      </c>
      <c r="D1" s="28">
        <v>2</v>
      </c>
      <c r="E1" s="28">
        <v>3</v>
      </c>
      <c r="F1" s="28">
        <v>4</v>
      </c>
      <c r="G1" s="28">
        <v>5</v>
      </c>
      <c r="H1" s="28">
        <v>6</v>
      </c>
      <c r="J1" s="21" t="s">
        <v>117</v>
      </c>
    </row>
    <row r="2" spans="1:10" x14ac:dyDescent="0.2">
      <c r="A2" s="28" t="s">
        <v>45</v>
      </c>
      <c r="B2" s="28"/>
      <c r="C2" s="28">
        <v>100</v>
      </c>
      <c r="D2" s="28">
        <v>20</v>
      </c>
      <c r="E2" s="28">
        <v>20</v>
      </c>
      <c r="F2" s="28">
        <v>20</v>
      </c>
      <c r="G2" s="28">
        <v>20</v>
      </c>
      <c r="H2" s="28">
        <v>20</v>
      </c>
      <c r="J2" s="69">
        <v>0.9</v>
      </c>
    </row>
    <row r="3" spans="1:10" x14ac:dyDescent="0.2">
      <c r="A3" s="28" t="s">
        <v>46</v>
      </c>
      <c r="B3" s="28">
        <v>200</v>
      </c>
      <c r="C3" s="28"/>
      <c r="D3" s="28"/>
      <c r="E3" s="28"/>
      <c r="F3" s="28"/>
      <c r="G3" s="28"/>
      <c r="H3" s="28"/>
    </row>
    <row r="4" spans="1:10" x14ac:dyDescent="0.2">
      <c r="A4" s="21" t="s">
        <v>47</v>
      </c>
      <c r="B4" s="30">
        <f>+B2/(1+$B$14)^B1</f>
        <v>0</v>
      </c>
      <c r="C4" s="30">
        <f>+C2/(1+$B$14)^C1</f>
        <v>90.909090909090907</v>
      </c>
      <c r="D4" s="30">
        <f>+(D2)/(1+$B$14)^D1</f>
        <v>16.528925619834709</v>
      </c>
      <c r="E4" s="30">
        <f>+(E2)/(1+$B$14)^E1</f>
        <v>15.02629601803155</v>
      </c>
      <c r="F4" s="30">
        <f>+(F2)/(1+$B$14)^F1</f>
        <v>13.66026910730141</v>
      </c>
      <c r="G4" s="30">
        <f>+(G2)/(1+$B$14)^G1</f>
        <v>12.418426461183099</v>
      </c>
      <c r="H4" s="30">
        <f>+(H2)/(1+$B$14)^H1</f>
        <v>11.289478601075544</v>
      </c>
    </row>
    <row r="5" spans="1:10" x14ac:dyDescent="0.2">
      <c r="A5" s="21" t="s">
        <v>48</v>
      </c>
      <c r="B5" s="30">
        <f>+B3/(1+$B$14)^B1</f>
        <v>200</v>
      </c>
      <c r="C5" s="30">
        <f>+C3/(1+$B$14)^C1</f>
        <v>0</v>
      </c>
      <c r="D5" s="30">
        <f t="shared" ref="D5:G5" si="0">+D3/(1+$B$14)^D1</f>
        <v>0</v>
      </c>
      <c r="E5" s="30">
        <f t="shared" si="0"/>
        <v>0</v>
      </c>
      <c r="F5" s="30">
        <f t="shared" si="0"/>
        <v>0</v>
      </c>
      <c r="G5" s="30">
        <f t="shared" si="0"/>
        <v>0</v>
      </c>
      <c r="H5" s="30">
        <f t="shared" ref="H5" si="1">+H3/(1+$B$14)^H1</f>
        <v>0</v>
      </c>
    </row>
    <row r="6" spans="1:10" x14ac:dyDescent="0.2">
      <c r="B6" s="21" t="s">
        <v>49</v>
      </c>
      <c r="C6" s="21" t="s">
        <v>50</v>
      </c>
    </row>
    <row r="7" spans="1:10" x14ac:dyDescent="0.2">
      <c r="A7" s="21" t="s">
        <v>51</v>
      </c>
      <c r="B7" s="23">
        <f>+SUM(B4:H4)</f>
        <v>159.83248671651722</v>
      </c>
      <c r="C7" s="29">
        <f>+NPV(B14,C2:H2)</f>
        <v>159.83248671651722</v>
      </c>
    </row>
    <row r="8" spans="1:10" x14ac:dyDescent="0.2">
      <c r="A8" s="21" t="s">
        <v>52</v>
      </c>
      <c r="B8" s="23">
        <f>+SUM(B5:H5)</f>
        <v>200</v>
      </c>
      <c r="C8" s="29">
        <f>+NPV(B15,C3:H3)+B3</f>
        <v>200</v>
      </c>
    </row>
    <row r="9" spans="1:10" x14ac:dyDescent="0.2">
      <c r="A9" s="21" t="s">
        <v>10</v>
      </c>
      <c r="B9" s="22">
        <f>+B7-B8</f>
        <v>-40.167513283482776</v>
      </c>
    </row>
    <row r="11" spans="1:10" x14ac:dyDescent="0.2">
      <c r="A11" s="21" t="s">
        <v>15</v>
      </c>
      <c r="B11" s="23">
        <f>+B7</f>
        <v>159.83248671651722</v>
      </c>
    </row>
    <row r="12" spans="1:10" x14ac:dyDescent="0.2">
      <c r="A12" s="21" t="s">
        <v>38</v>
      </c>
      <c r="B12" s="23">
        <f>+B3</f>
        <v>200</v>
      </c>
      <c r="C12" s="21" t="s">
        <v>39</v>
      </c>
    </row>
    <row r="13" spans="1:10" x14ac:dyDescent="0.2">
      <c r="A13" s="21" t="s">
        <v>11</v>
      </c>
      <c r="B13" s="24">
        <v>0.9</v>
      </c>
    </row>
    <row r="14" spans="1:10" x14ac:dyDescent="0.2">
      <c r="A14" s="21" t="s">
        <v>40</v>
      </c>
      <c r="B14" s="25">
        <v>0.1</v>
      </c>
    </row>
    <row r="15" spans="1:10" x14ac:dyDescent="0.2">
      <c r="A15" s="21" t="s">
        <v>41</v>
      </c>
      <c r="B15" s="25">
        <f>+LN(1+B14)</f>
        <v>9.5310179804324935E-2</v>
      </c>
    </row>
    <row r="16" spans="1:10" x14ac:dyDescent="0.2">
      <c r="A16" s="21" t="s">
        <v>17</v>
      </c>
      <c r="B16" s="21">
        <v>5</v>
      </c>
    </row>
    <row r="17" spans="1:10" x14ac:dyDescent="0.2">
      <c r="A17" s="21" t="s">
        <v>42</v>
      </c>
    </row>
    <row r="18" spans="1:10" x14ac:dyDescent="0.2">
      <c r="A18" s="21" t="s">
        <v>19</v>
      </c>
      <c r="B18" s="21">
        <f>+(LN(B11/B12)+(B15+0.5*B13^2)*B16)/(B13*SQRT(B16))</f>
        <v>1.1316292031657413</v>
      </c>
    </row>
    <row r="19" spans="1:10" x14ac:dyDescent="0.2">
      <c r="A19" s="21" t="s">
        <v>20</v>
      </c>
      <c r="B19" s="21">
        <f>+(LN(B11/B12)+(B15-0.5*B13^2)*B16)/(B13*SQRT(B16))</f>
        <v>-0.8808319765840692</v>
      </c>
    </row>
    <row r="20" spans="1:10" x14ac:dyDescent="0.2">
      <c r="A20" s="21" t="s">
        <v>21</v>
      </c>
      <c r="B20" s="26">
        <f>+_xlfn.NORM.S.DIST(B18,1)</f>
        <v>0.87110482140885892</v>
      </c>
    </row>
    <row r="21" spans="1:10" x14ac:dyDescent="0.2">
      <c r="A21" s="21" t="s">
        <v>22</v>
      </c>
      <c r="B21" s="21">
        <f>+_xlfn.NORM.S.DIST(B19,1)</f>
        <v>0.18920438479527724</v>
      </c>
    </row>
    <row r="22" spans="1:10" x14ac:dyDescent="0.2">
      <c r="A22" s="21" t="s">
        <v>23</v>
      </c>
      <c r="B22" s="21">
        <f>+_xlfn.NORM.S.DIST(-B18,1)</f>
        <v>0.12889517859114108</v>
      </c>
    </row>
    <row r="23" spans="1:10" x14ac:dyDescent="0.2">
      <c r="A23" s="21" t="s">
        <v>24</v>
      </c>
      <c r="B23" s="21">
        <f>+_xlfn.NORM.S.DIST(-B19,1)</f>
        <v>0.81079561520472276</v>
      </c>
      <c r="E23" s="21" t="s">
        <v>103</v>
      </c>
      <c r="F23" s="81" t="s">
        <v>110</v>
      </c>
      <c r="G23" s="81"/>
      <c r="H23" s="81"/>
      <c r="I23" s="81"/>
      <c r="J23" s="81"/>
    </row>
    <row r="24" spans="1:10" x14ac:dyDescent="0.2">
      <c r="F24" s="81"/>
      <c r="G24" s="81"/>
      <c r="H24" s="81"/>
      <c r="I24" s="81"/>
      <c r="J24" s="81"/>
    </row>
    <row r="25" spans="1:10" x14ac:dyDescent="0.2">
      <c r="A25" s="21" t="s">
        <v>14</v>
      </c>
      <c r="B25" s="27">
        <f>+B11*B20-B12*EXP(-B15*B16)*B21</f>
        <v>115.73464240939015</v>
      </c>
      <c r="F25" s="81"/>
      <c r="G25" s="81"/>
      <c r="H25" s="81"/>
      <c r="I25" s="81"/>
      <c r="J25" s="81"/>
    </row>
    <row r="26" spans="1:10" x14ac:dyDescent="0.2">
      <c r="A26" s="21" t="s">
        <v>43</v>
      </c>
      <c r="B26" s="27">
        <f>+B9</f>
        <v>-40.167513283482776</v>
      </c>
    </row>
    <row r="27" spans="1:10" x14ac:dyDescent="0.2">
      <c r="A27" s="21" t="s">
        <v>44</v>
      </c>
      <c r="B27" s="27">
        <f>+IF(B11&gt;B12,B25,B25+B26)</f>
        <v>75.567129125907371</v>
      </c>
    </row>
  </sheetData>
  <mergeCells count="1">
    <mergeCell ref="F23:J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F2A8D-3E74-4A7A-9160-797D74E36B9E}">
  <dimension ref="A1:N30"/>
  <sheetViews>
    <sheetView workbookViewId="0">
      <selection activeCell="D24" sqref="D24"/>
    </sheetView>
  </sheetViews>
  <sheetFormatPr baseColWidth="10" defaultColWidth="11.5" defaultRowHeight="15" x14ac:dyDescent="0.2"/>
  <cols>
    <col min="1" max="16384" width="11.5" style="21"/>
  </cols>
  <sheetData>
    <row r="1" spans="1:14" x14ac:dyDescent="0.2">
      <c r="A1" s="28"/>
      <c r="B1" s="28">
        <v>0</v>
      </c>
      <c r="C1" s="28">
        <v>1</v>
      </c>
      <c r="D1" s="28">
        <v>2</v>
      </c>
      <c r="E1" s="28">
        <v>3</v>
      </c>
      <c r="F1" s="28">
        <v>4</v>
      </c>
      <c r="G1" s="28">
        <v>5</v>
      </c>
      <c r="H1" s="28">
        <v>6</v>
      </c>
      <c r="J1" s="21" t="s">
        <v>109</v>
      </c>
    </row>
    <row r="2" spans="1:14" x14ac:dyDescent="0.2">
      <c r="A2" s="28" t="s">
        <v>45</v>
      </c>
      <c r="B2" s="28"/>
      <c r="C2" s="28">
        <v>100</v>
      </c>
      <c r="D2" s="28">
        <v>20</v>
      </c>
      <c r="E2" s="28">
        <v>20</v>
      </c>
      <c r="F2" s="28">
        <v>20</v>
      </c>
      <c r="G2" s="28">
        <v>20</v>
      </c>
      <c r="H2" s="28">
        <v>20</v>
      </c>
      <c r="J2" s="69">
        <v>0.9</v>
      </c>
    </row>
    <row r="3" spans="1:14" x14ac:dyDescent="0.2">
      <c r="A3" s="28" t="s">
        <v>46</v>
      </c>
      <c r="B3" s="28">
        <v>200</v>
      </c>
      <c r="C3" s="28"/>
      <c r="D3" s="28"/>
      <c r="E3" s="28"/>
      <c r="F3" s="28"/>
      <c r="G3" s="28"/>
      <c r="H3" s="28"/>
    </row>
    <row r="4" spans="1:14" x14ac:dyDescent="0.2">
      <c r="A4" s="21" t="s">
        <v>47</v>
      </c>
      <c r="B4" s="30">
        <f>+B2/(1+$B$14)^B1</f>
        <v>0</v>
      </c>
      <c r="C4" s="30">
        <f>+C2/(1+$B$14)^C1</f>
        <v>90.909090909090907</v>
      </c>
      <c r="D4" s="30">
        <f>+(D2)/(1+$B$14)^D1</f>
        <v>16.528925619834709</v>
      </c>
      <c r="E4" s="30">
        <f>+(E2*$J$2^C1)/(1+$B$14)^E1</f>
        <v>13.523666416228396</v>
      </c>
      <c r="F4" s="30">
        <f>+(F2*$J$2^D1)/(1+$B$14)^F1</f>
        <v>11.064817976914144</v>
      </c>
      <c r="G4" s="30">
        <f>+(G2*$J$2^E1)/(1+$B$14)^G1</f>
        <v>9.0530328902024806</v>
      </c>
      <c r="H4" s="30">
        <f>+(H2*$J$2^F1)/(1+$B$14)^H1</f>
        <v>7.4070269101656656</v>
      </c>
    </row>
    <row r="5" spans="1:14" x14ac:dyDescent="0.2">
      <c r="A5" s="21" t="s">
        <v>48</v>
      </c>
      <c r="B5" s="30">
        <f>+B3/(1+$B$14)^B1</f>
        <v>200</v>
      </c>
      <c r="C5" s="30">
        <f>+C3/(1+$B$14)^C1</f>
        <v>0</v>
      </c>
      <c r="D5" s="30">
        <f t="shared" ref="D5:H5" si="0">+D3/(1+$B$14)^D1</f>
        <v>0</v>
      </c>
      <c r="E5" s="30">
        <f>+E3/(1+$B$14)^E1</f>
        <v>0</v>
      </c>
      <c r="F5" s="30">
        <f t="shared" si="0"/>
        <v>0</v>
      </c>
      <c r="G5" s="30">
        <f t="shared" si="0"/>
        <v>0</v>
      </c>
      <c r="H5" s="30">
        <f t="shared" si="0"/>
        <v>0</v>
      </c>
    </row>
    <row r="6" spans="1:14" x14ac:dyDescent="0.2">
      <c r="B6" s="21" t="s">
        <v>49</v>
      </c>
      <c r="N6" s="21" t="s">
        <v>49</v>
      </c>
    </row>
    <row r="7" spans="1:14" x14ac:dyDescent="0.2">
      <c r="A7" s="21" t="s">
        <v>51</v>
      </c>
      <c r="B7" s="23">
        <f>+SUM(B4:H4)</f>
        <v>148.48656072243628</v>
      </c>
      <c r="C7" s="29"/>
      <c r="M7" s="21" t="s">
        <v>51</v>
      </c>
      <c r="N7" s="23">
        <v>148.48656072243628</v>
      </c>
    </row>
    <row r="8" spans="1:14" x14ac:dyDescent="0.2">
      <c r="A8" s="21" t="s">
        <v>52</v>
      </c>
      <c r="B8" s="23">
        <f>+SUM(B5:H5)</f>
        <v>200</v>
      </c>
      <c r="C8" s="29"/>
      <c r="M8" s="21" t="s">
        <v>52</v>
      </c>
      <c r="N8" s="23">
        <v>148.48656072243469</v>
      </c>
    </row>
    <row r="9" spans="1:14" x14ac:dyDescent="0.2">
      <c r="A9" s="21" t="s">
        <v>10</v>
      </c>
      <c r="B9" s="22">
        <f>+B7-B8</f>
        <v>-51.51343927756372</v>
      </c>
      <c r="M9" s="21" t="s">
        <v>10</v>
      </c>
      <c r="N9" s="22">
        <v>-51.51343927756372</v>
      </c>
    </row>
    <row r="11" spans="1:14" x14ac:dyDescent="0.2">
      <c r="A11" s="21" t="s">
        <v>15</v>
      </c>
      <c r="B11" s="23">
        <f>+B7</f>
        <v>148.48656072243628</v>
      </c>
      <c r="M11" s="21" t="s">
        <v>15</v>
      </c>
      <c r="N11" s="23">
        <f>+N7</f>
        <v>148.48656072243628</v>
      </c>
    </row>
    <row r="12" spans="1:14" x14ac:dyDescent="0.2">
      <c r="A12" s="21" t="s">
        <v>38</v>
      </c>
      <c r="B12" s="23">
        <f>+B8</f>
        <v>200</v>
      </c>
      <c r="C12" s="21" t="s">
        <v>39</v>
      </c>
      <c r="M12" s="21" t="s">
        <v>38</v>
      </c>
      <c r="N12" s="23">
        <f>+N8</f>
        <v>148.48656072243469</v>
      </c>
    </row>
    <row r="13" spans="1:14" x14ac:dyDescent="0.2">
      <c r="A13" s="21" t="s">
        <v>11</v>
      </c>
      <c r="B13" s="24">
        <v>0.53</v>
      </c>
      <c r="M13" s="21" t="s">
        <v>11</v>
      </c>
      <c r="N13" s="24">
        <v>0.3</v>
      </c>
    </row>
    <row r="14" spans="1:14" x14ac:dyDescent="0.2">
      <c r="A14" s="21" t="s">
        <v>40</v>
      </c>
      <c r="B14" s="25">
        <v>0.1</v>
      </c>
      <c r="M14" s="21" t="s">
        <v>40</v>
      </c>
      <c r="N14" s="25">
        <v>0.1</v>
      </c>
    </row>
    <row r="15" spans="1:14" x14ac:dyDescent="0.2">
      <c r="A15" s="21" t="s">
        <v>41</v>
      </c>
      <c r="B15" s="25">
        <f>+LN(1+B14)</f>
        <v>9.5310179804324935E-2</v>
      </c>
      <c r="M15" s="21" t="s">
        <v>41</v>
      </c>
      <c r="N15" s="25">
        <f>+LN(1+N14)</f>
        <v>9.5310179804324935E-2</v>
      </c>
    </row>
    <row r="16" spans="1:14" x14ac:dyDescent="0.2">
      <c r="A16" s="21" t="s">
        <v>17</v>
      </c>
      <c r="B16" s="21">
        <v>3</v>
      </c>
      <c r="C16" s="82" t="s">
        <v>111</v>
      </c>
      <c r="D16" s="82"/>
      <c r="E16" s="82"/>
      <c r="M16" s="21" t="s">
        <v>17</v>
      </c>
      <c r="N16" s="21">
        <v>3</v>
      </c>
    </row>
    <row r="17" spans="1:14" x14ac:dyDescent="0.2">
      <c r="A17" s="21" t="s">
        <v>42</v>
      </c>
      <c r="C17" s="82"/>
      <c r="D17" s="82"/>
      <c r="E17" s="82"/>
      <c r="M17" s="21" t="s">
        <v>42</v>
      </c>
    </row>
    <row r="18" spans="1:14" x14ac:dyDescent="0.2">
      <c r="A18" s="21" t="s">
        <v>19</v>
      </c>
      <c r="B18" s="21">
        <f>+(LN(B11/B12)+(B15+0.5*B13^2)*B16)/(B13*SQRT(B16))</f>
        <v>0.44603862466063104</v>
      </c>
      <c r="M18" s="21" t="s">
        <v>19</v>
      </c>
      <c r="N18" s="21">
        <f>+(LN(N11/N12)+(N15+0.5*N13^2)*N16)/(N13*SQRT(N16))</f>
        <v>0.81008120080073842</v>
      </c>
    </row>
    <row r="19" spans="1:14" x14ac:dyDescent="0.2">
      <c r="A19" s="21" t="s">
        <v>20</v>
      </c>
      <c r="B19" s="21">
        <f>+(LN(B11/B12)+(B15-0.5*B13^2)*B16)/(B13*SQRT(B16))</f>
        <v>-0.47194830335087407</v>
      </c>
      <c r="M19" s="21" t="s">
        <v>20</v>
      </c>
      <c r="N19" s="21">
        <f>+(LN(N11/N12)+(N15-0.5*N13^2)*N16)/(N13*SQRT(N16))</f>
        <v>0.29046595853007529</v>
      </c>
    </row>
    <row r="20" spans="1:14" x14ac:dyDescent="0.2">
      <c r="A20" s="21" t="s">
        <v>21</v>
      </c>
      <c r="B20" s="26">
        <f>+_xlfn.NORM.S.DIST(B18,1)</f>
        <v>0.67221532712468723</v>
      </c>
      <c r="M20" s="21" t="s">
        <v>21</v>
      </c>
      <c r="N20" s="26">
        <f>+_xlfn.NORM.S.DIST(N18,1)</f>
        <v>0.79105324594554416</v>
      </c>
    </row>
    <row r="21" spans="1:14" x14ac:dyDescent="0.2">
      <c r="A21" s="21" t="s">
        <v>22</v>
      </c>
      <c r="B21" s="21">
        <f>+_xlfn.NORM.S.DIST(B19,1)</f>
        <v>0.31848184448401728</v>
      </c>
      <c r="M21" s="21" t="s">
        <v>22</v>
      </c>
      <c r="N21" s="21">
        <f>+_xlfn.NORM.S.DIST(N19,1)</f>
        <v>0.61427010507771929</v>
      </c>
    </row>
    <row r="22" spans="1:14" x14ac:dyDescent="0.2">
      <c r="A22" s="21" t="s">
        <v>23</v>
      </c>
      <c r="B22" s="21">
        <f>+_xlfn.NORM.S.DIST(-B18,1)</f>
        <v>0.32778467287531277</v>
      </c>
      <c r="M22" s="21" t="s">
        <v>23</v>
      </c>
      <c r="N22" s="21">
        <f>+_xlfn.NORM.S.DIST(-N18,1)</f>
        <v>0.20894675405445584</v>
      </c>
    </row>
    <row r="23" spans="1:14" x14ac:dyDescent="0.2">
      <c r="A23" s="21" t="s">
        <v>24</v>
      </c>
      <c r="B23" s="21">
        <f>+_xlfn.NORM.S.DIST(-B19,1)</f>
        <v>0.68151815551598272</v>
      </c>
      <c r="E23" s="21" t="s">
        <v>103</v>
      </c>
      <c r="F23" s="81" t="s">
        <v>118</v>
      </c>
      <c r="G23" s="81"/>
      <c r="H23" s="81"/>
      <c r="I23" s="81"/>
      <c r="J23" s="81"/>
      <c r="M23" s="21" t="s">
        <v>24</v>
      </c>
      <c r="N23" s="21">
        <f>+_xlfn.NORM.S.DIST(-N19,1)</f>
        <v>0.38572989492228066</v>
      </c>
    </row>
    <row r="24" spans="1:14" x14ac:dyDescent="0.2">
      <c r="F24" s="81"/>
      <c r="G24" s="81"/>
      <c r="H24" s="81"/>
      <c r="I24" s="81"/>
      <c r="J24" s="81"/>
    </row>
    <row r="25" spans="1:14" x14ac:dyDescent="0.2">
      <c r="A25" s="21" t="s">
        <v>14</v>
      </c>
      <c r="B25" s="27">
        <f>+B11*B20-B12*EXP(-B15*B16)*B21</f>
        <v>51.958917273796914</v>
      </c>
      <c r="F25" s="81"/>
      <c r="G25" s="81"/>
      <c r="H25" s="81"/>
      <c r="I25" s="81"/>
      <c r="J25" s="81"/>
      <c r="M25" s="21" t="s">
        <v>14</v>
      </c>
      <c r="N25" s="27">
        <f>+N11*N20-N12*EXP(-N15*N16)*N21</f>
        <v>48.932710280847687</v>
      </c>
    </row>
    <row r="26" spans="1:14" ht="15" customHeight="1" x14ac:dyDescent="0.2">
      <c r="A26" s="21" t="s">
        <v>43</v>
      </c>
      <c r="B26" s="27">
        <f>+B9</f>
        <v>-51.51343927756372</v>
      </c>
      <c r="E26" s="21" t="s">
        <v>112</v>
      </c>
      <c r="F26" s="81" t="s">
        <v>113</v>
      </c>
      <c r="G26" s="81"/>
      <c r="H26" s="81"/>
      <c r="I26" s="81"/>
      <c r="J26" s="81"/>
      <c r="M26" s="21" t="s">
        <v>43</v>
      </c>
      <c r="N26" s="27">
        <f>+N9</f>
        <v>-51.51343927756372</v>
      </c>
    </row>
    <row r="27" spans="1:14" x14ac:dyDescent="0.2">
      <c r="A27" s="21" t="s">
        <v>44</v>
      </c>
      <c r="B27" s="27">
        <f>+IF(B11&gt;B12,B25,B25+B26)</f>
        <v>0.44547799623319406</v>
      </c>
      <c r="F27" s="81"/>
      <c r="G27" s="81"/>
      <c r="H27" s="81"/>
      <c r="I27" s="81"/>
      <c r="J27" s="81"/>
      <c r="M27" s="21" t="s">
        <v>44</v>
      </c>
      <c r="N27" s="27">
        <f>+IF(N11&gt;N12,N25,N25+N26)</f>
        <v>48.932710280847687</v>
      </c>
    </row>
    <row r="28" spans="1:14" ht="18" customHeight="1" x14ac:dyDescent="0.2">
      <c r="E28" s="21" t="s">
        <v>106</v>
      </c>
      <c r="F28" s="81" t="s">
        <v>114</v>
      </c>
      <c r="G28" s="81"/>
      <c r="H28" s="81"/>
      <c r="I28" s="81"/>
      <c r="J28" s="81"/>
    </row>
    <row r="29" spans="1:14" x14ac:dyDescent="0.2">
      <c r="F29" s="81"/>
      <c r="G29" s="81"/>
      <c r="H29" s="81"/>
      <c r="I29" s="81"/>
      <c r="J29" s="81"/>
    </row>
    <row r="30" spans="1:14" x14ac:dyDescent="0.2">
      <c r="F30" s="81"/>
      <c r="G30" s="81"/>
      <c r="H30" s="81"/>
      <c r="I30" s="81"/>
      <c r="J30" s="81"/>
    </row>
  </sheetData>
  <mergeCells count="4">
    <mergeCell ref="F23:J25"/>
    <mergeCell ref="C16:E17"/>
    <mergeCell ref="F26:J27"/>
    <mergeCell ref="F28:J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DCC69-D5A8-465A-A2C4-3AF8704356FC}">
  <dimension ref="A2:Q26"/>
  <sheetViews>
    <sheetView workbookViewId="0">
      <selection activeCell="M25" sqref="M25"/>
    </sheetView>
  </sheetViews>
  <sheetFormatPr baseColWidth="10" defaultColWidth="11.5" defaultRowHeight="15" x14ac:dyDescent="0.2"/>
  <cols>
    <col min="1" max="12" width="11.5" style="21"/>
    <col min="13" max="13" width="24" style="21" customWidth="1"/>
    <col min="14" max="16384" width="11.5" style="21"/>
  </cols>
  <sheetData>
    <row r="2" spans="1:17" x14ac:dyDescent="0.2">
      <c r="A2" s="21" t="s">
        <v>116</v>
      </c>
      <c r="B2" s="69">
        <v>0.2</v>
      </c>
    </row>
    <row r="3" spans="1:17" ht="16" thickBot="1" x14ac:dyDescent="0.25">
      <c r="A3" s="70" t="s">
        <v>53</v>
      </c>
      <c r="B3" s="71">
        <f>-50*(1+B2)</f>
        <v>-60</v>
      </c>
      <c r="C3" s="21" t="s">
        <v>115</v>
      </c>
    </row>
    <row r="4" spans="1:17" ht="16" thickTop="1" x14ac:dyDescent="0.2">
      <c r="A4" s="21" t="s">
        <v>119</v>
      </c>
      <c r="B4" s="23">
        <v>5</v>
      </c>
    </row>
    <row r="5" spans="1:17" x14ac:dyDescent="0.2">
      <c r="A5" s="21" t="s">
        <v>120</v>
      </c>
      <c r="B5" s="23">
        <v>2</v>
      </c>
    </row>
    <row r="6" spans="1:17" ht="16" thickBot="1" x14ac:dyDescent="0.25">
      <c r="A6" s="70" t="s">
        <v>54</v>
      </c>
      <c r="B6" s="74">
        <f>PV(B13,10,-B5)-B4</f>
        <v>3.3849441711015427</v>
      </c>
    </row>
    <row r="7" spans="1:17" ht="17" thickTop="1" thickBot="1" x14ac:dyDescent="0.25">
      <c r="A7" s="72" t="s">
        <v>55</v>
      </c>
      <c r="B7" s="73">
        <f>+B3+B6</f>
        <v>-56.615055828898456</v>
      </c>
      <c r="L7" s="83" t="s">
        <v>122</v>
      </c>
      <c r="M7" s="83"/>
      <c r="P7" s="84"/>
      <c r="Q7" s="84"/>
    </row>
    <row r="8" spans="1:17" x14ac:dyDescent="0.2">
      <c r="L8" s="21" t="s">
        <v>15</v>
      </c>
      <c r="M8" s="23">
        <f>+B10</f>
        <v>3.3849441711015427</v>
      </c>
      <c r="Q8" s="75"/>
    </row>
    <row r="9" spans="1:17" x14ac:dyDescent="0.2">
      <c r="L9" s="21" t="s">
        <v>38</v>
      </c>
      <c r="M9" s="23">
        <f t="shared" ref="M9" si="0">+B11</f>
        <v>60</v>
      </c>
      <c r="N9" s="21" t="s">
        <v>121</v>
      </c>
      <c r="Q9" s="75"/>
    </row>
    <row r="10" spans="1:17" x14ac:dyDescent="0.2">
      <c r="A10" s="21" t="s">
        <v>15</v>
      </c>
      <c r="B10" s="23">
        <f>+B6</f>
        <v>3.3849441711015427</v>
      </c>
      <c r="L10" s="21" t="s">
        <v>11</v>
      </c>
      <c r="M10" s="24">
        <v>0.5</v>
      </c>
      <c r="Q10" s="76"/>
    </row>
    <row r="11" spans="1:17" x14ac:dyDescent="0.2">
      <c r="A11" s="21" t="s">
        <v>38</v>
      </c>
      <c r="B11" s="23">
        <f>-B3</f>
        <v>60</v>
      </c>
      <c r="C11" s="21" t="s">
        <v>121</v>
      </c>
      <c r="L11" s="21" t="s">
        <v>40</v>
      </c>
      <c r="M11" s="24">
        <v>720575940379361.5</v>
      </c>
      <c r="Q11" s="25"/>
    </row>
    <row r="12" spans="1:17" x14ac:dyDescent="0.2">
      <c r="A12" s="21" t="s">
        <v>11</v>
      </c>
      <c r="B12" s="24">
        <v>0.5</v>
      </c>
      <c r="L12" s="21" t="s">
        <v>41</v>
      </c>
      <c r="M12" s="25">
        <f>+LN(1+M11)</f>
        <v>34.211071925368962</v>
      </c>
      <c r="Q12" s="25"/>
    </row>
    <row r="13" spans="1:17" x14ac:dyDescent="0.2">
      <c r="A13" s="21" t="s">
        <v>40</v>
      </c>
      <c r="B13" s="25">
        <v>0.2</v>
      </c>
      <c r="L13" s="21" t="s">
        <v>17</v>
      </c>
      <c r="M13" s="21">
        <v>10</v>
      </c>
    </row>
    <row r="14" spans="1:17" x14ac:dyDescent="0.2">
      <c r="A14" s="21" t="s">
        <v>41</v>
      </c>
      <c r="B14" s="25">
        <f>+LN(1+B13)</f>
        <v>0.18232155679395459</v>
      </c>
      <c r="L14" s="21" t="s">
        <v>42</v>
      </c>
    </row>
    <row r="15" spans="1:17" x14ac:dyDescent="0.2">
      <c r="A15" s="21" t="s">
        <v>17</v>
      </c>
      <c r="B15" s="21">
        <v>10</v>
      </c>
      <c r="L15" s="21" t="s">
        <v>19</v>
      </c>
      <c r="M15" s="21">
        <f>+(LN(M8/M9)+(M12+0.5*M10^2)*M13)/(M10*SQRT(M13))</f>
        <v>215.34207219902288</v>
      </c>
    </row>
    <row r="16" spans="1:17" x14ac:dyDescent="0.2">
      <c r="A16" s="21" t="s">
        <v>42</v>
      </c>
      <c r="L16" s="21" t="s">
        <v>20</v>
      </c>
      <c r="M16" s="21">
        <f>+(LN(M8/M9)+(M12-0.5*M10^2)*M13)/(M10*SQRT(M13))</f>
        <v>213.76093336893868</v>
      </c>
    </row>
    <row r="17" spans="1:17" x14ac:dyDescent="0.2">
      <c r="A17" s="21" t="s">
        <v>19</v>
      </c>
      <c r="B17" s="21">
        <f>+(LN(B10/B11)+(B14+0.5*B12^2)*B15)/(B12*SQRT(B15))</f>
        <v>0.12535801104037672</v>
      </c>
      <c r="L17" s="21" t="s">
        <v>21</v>
      </c>
      <c r="M17" s="26">
        <f>+_xlfn.NORM.S.DIST(M15,1)</f>
        <v>1</v>
      </c>
      <c r="Q17" s="26"/>
    </row>
    <row r="18" spans="1:17" x14ac:dyDescent="0.2">
      <c r="A18" s="21" t="s">
        <v>20</v>
      </c>
      <c r="B18" s="21">
        <f>+(LN(B10/B11)+(B14-0.5*B12^2)*B15)/(B12*SQRT(B15))</f>
        <v>-1.4557808190438126</v>
      </c>
      <c r="L18" s="21" t="s">
        <v>22</v>
      </c>
      <c r="M18" s="21">
        <f>+_xlfn.NORM.S.DIST(M16,1)</f>
        <v>1</v>
      </c>
    </row>
    <row r="19" spans="1:17" x14ac:dyDescent="0.2">
      <c r="A19" s="21" t="s">
        <v>21</v>
      </c>
      <c r="B19" s="26">
        <f>+_xlfn.NORM.S.DIST(B17,1)</f>
        <v>0.54987993591830198</v>
      </c>
      <c r="L19" s="21" t="s">
        <v>23</v>
      </c>
      <c r="M19" s="21">
        <f>+_xlfn.NORM.S.DIST(-M15,1)</f>
        <v>0</v>
      </c>
    </row>
    <row r="20" spans="1:17" x14ac:dyDescent="0.2">
      <c r="A20" s="21" t="s">
        <v>22</v>
      </c>
      <c r="B20" s="21">
        <f>+_xlfn.NORM.S.DIST(B18,1)</f>
        <v>7.2726609895511274E-2</v>
      </c>
      <c r="L20" s="21" t="s">
        <v>24</v>
      </c>
      <c r="M20" s="21">
        <f>+_xlfn.NORM.S.DIST(-M16,1)</f>
        <v>0</v>
      </c>
    </row>
    <row r="21" spans="1:17" x14ac:dyDescent="0.2">
      <c r="A21" s="21" t="s">
        <v>23</v>
      </c>
      <c r="B21" s="21">
        <f>+_xlfn.NORM.S.DIST(-B17,1)</f>
        <v>0.45012006408169802</v>
      </c>
    </row>
    <row r="22" spans="1:17" x14ac:dyDescent="0.2">
      <c r="A22" s="21" t="s">
        <v>24</v>
      </c>
      <c r="B22" s="21">
        <f>+_xlfn.NORM.S.DIST(-B18,1)</f>
        <v>0.92727339010448873</v>
      </c>
      <c r="L22" s="21" t="s">
        <v>14</v>
      </c>
      <c r="M22" s="27">
        <f>+M8*M17-M9*EXP(-M12*M13)*M18</f>
        <v>3.3849441711015427</v>
      </c>
      <c r="Q22" s="77"/>
    </row>
    <row r="23" spans="1:17" x14ac:dyDescent="0.2">
      <c r="L23" s="21" t="s">
        <v>43</v>
      </c>
      <c r="M23" s="27">
        <f>+B7</f>
        <v>-56.615055828898456</v>
      </c>
      <c r="Q23" s="77"/>
    </row>
    <row r="24" spans="1:17" x14ac:dyDescent="0.2">
      <c r="A24" s="21" t="s">
        <v>14</v>
      </c>
      <c r="B24" s="27">
        <f>+B10*B19-B11*EXP(-B14*B15)*B20</f>
        <v>1.1565676725257275</v>
      </c>
      <c r="L24" s="21" t="s">
        <v>44</v>
      </c>
      <c r="M24" s="27">
        <f>+IF(M8&gt;M9,M22,M22+M23)</f>
        <v>-53.230111657796911</v>
      </c>
      <c r="Q24" s="77"/>
    </row>
    <row r="25" spans="1:17" x14ac:dyDescent="0.2">
      <c r="A25" s="21" t="s">
        <v>43</v>
      </c>
      <c r="B25" s="27">
        <f>+B7</f>
        <v>-56.615055828898456</v>
      </c>
    </row>
    <row r="26" spans="1:17" x14ac:dyDescent="0.2">
      <c r="A26" s="21" t="s">
        <v>44</v>
      </c>
      <c r="B26" s="27">
        <f>+IF(B10&gt;B11,B24,B24+B25)</f>
        <v>-55.458488156372731</v>
      </c>
    </row>
  </sheetData>
  <mergeCells count="2">
    <mergeCell ref="L7:M7"/>
    <mergeCell ref="P7:Q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FD2A-064C-4F9C-A322-B659DCCFE49F}">
  <dimension ref="A1:J20"/>
  <sheetViews>
    <sheetView workbookViewId="0">
      <selection activeCell="B13" sqref="B13"/>
    </sheetView>
  </sheetViews>
  <sheetFormatPr baseColWidth="10" defaultRowHeight="15" x14ac:dyDescent="0.2"/>
  <cols>
    <col min="1" max="1" width="22.1640625" customWidth="1"/>
    <col min="2" max="2" width="20.33203125" customWidth="1"/>
    <col min="3" max="3" width="20.6640625" customWidth="1"/>
  </cols>
  <sheetData>
    <row r="1" spans="1:10" ht="16" x14ac:dyDescent="0.2">
      <c r="A1" s="31" t="s">
        <v>56</v>
      </c>
      <c r="B1" s="32"/>
    </row>
    <row r="2" spans="1:10" x14ac:dyDescent="0.2">
      <c r="A2" s="33"/>
      <c r="B2" t="s">
        <v>68</v>
      </c>
      <c r="C2" t="s">
        <v>69</v>
      </c>
    </row>
    <row r="3" spans="1:10" x14ac:dyDescent="0.2">
      <c r="A3" s="6" t="s">
        <v>66</v>
      </c>
      <c r="B3" s="38">
        <f>+G6</f>
        <v>4.257142857142858</v>
      </c>
      <c r="C3" s="34">
        <f>+H6</f>
        <v>4.0333333333333332</v>
      </c>
      <c r="G3" t="s">
        <v>70</v>
      </c>
      <c r="H3" t="s">
        <v>71</v>
      </c>
    </row>
    <row r="4" spans="1:10" x14ac:dyDescent="0.2">
      <c r="A4" s="6" t="s">
        <v>67</v>
      </c>
      <c r="B4" s="8">
        <f>+H6</f>
        <v>4.0333333333333332</v>
      </c>
      <c r="C4" s="8">
        <f>+G6</f>
        <v>4.257142857142858</v>
      </c>
      <c r="F4" t="s">
        <v>57</v>
      </c>
      <c r="G4">
        <v>5.4</v>
      </c>
      <c r="H4">
        <v>5.7</v>
      </c>
    </row>
    <row r="5" spans="1:10" x14ac:dyDescent="0.2">
      <c r="A5" s="6" t="s">
        <v>17</v>
      </c>
      <c r="B5" s="9">
        <v>1</v>
      </c>
      <c r="C5" s="9">
        <v>1</v>
      </c>
      <c r="F5" t="s">
        <v>58</v>
      </c>
      <c r="G5">
        <f>+G8/(1+G10)^G11</f>
        <v>1.1428571428571428</v>
      </c>
      <c r="H5">
        <f>+H8/(1+H10)^H11</f>
        <v>1.6666666666666665</v>
      </c>
      <c r="I5" s="39">
        <f>+H5-G5</f>
        <v>0.52380952380952372</v>
      </c>
      <c r="J5" t="s">
        <v>73</v>
      </c>
    </row>
    <row r="6" spans="1:10" x14ac:dyDescent="0.2">
      <c r="A6" s="6" t="s">
        <v>59</v>
      </c>
      <c r="B6" s="10">
        <v>0.05</v>
      </c>
      <c r="C6" s="10">
        <v>0.05</v>
      </c>
      <c r="F6" t="s">
        <v>10</v>
      </c>
      <c r="G6" s="4">
        <f>+G4-G5</f>
        <v>4.257142857142858</v>
      </c>
      <c r="H6">
        <f>+H4-H5</f>
        <v>4.0333333333333332</v>
      </c>
    </row>
    <row r="7" spans="1:10" x14ac:dyDescent="0.2">
      <c r="A7" s="6" t="s">
        <v>60</v>
      </c>
      <c r="B7" s="11">
        <v>0.05</v>
      </c>
      <c r="C7" s="11">
        <v>0.05</v>
      </c>
    </row>
    <row r="8" spans="1:10" x14ac:dyDescent="0.2">
      <c r="A8" s="35" t="s">
        <v>61</v>
      </c>
      <c r="B8" s="9">
        <v>0.15</v>
      </c>
      <c r="C8" s="9">
        <v>0.25</v>
      </c>
      <c r="F8" t="s">
        <v>62</v>
      </c>
      <c r="G8">
        <v>1.2</v>
      </c>
      <c r="H8">
        <f>1.2+0.55</f>
        <v>1.75</v>
      </c>
    </row>
    <row r="9" spans="1:10" x14ac:dyDescent="0.2">
      <c r="A9" s="35" t="s">
        <v>63</v>
      </c>
      <c r="B9" s="9">
        <v>0.25</v>
      </c>
      <c r="C9" s="9">
        <v>0.15</v>
      </c>
    </row>
    <row r="10" spans="1:10" x14ac:dyDescent="0.2">
      <c r="A10" s="35" t="s">
        <v>64</v>
      </c>
      <c r="B10" s="14">
        <v>0.5</v>
      </c>
      <c r="C10" s="14">
        <v>0.5</v>
      </c>
      <c r="F10" t="s">
        <v>8</v>
      </c>
      <c r="G10" s="1">
        <v>0.05</v>
      </c>
      <c r="H10" s="1">
        <v>0.05</v>
      </c>
    </row>
    <row r="11" spans="1:10" x14ac:dyDescent="0.2">
      <c r="A11" s="35" t="s">
        <v>65</v>
      </c>
      <c r="B11" s="14">
        <f>SQRT(B8^2 + B9^2 -2*B10*B9*B8)</f>
        <v>0.21794494717703367</v>
      </c>
      <c r="C11" s="14">
        <f>SQRT(C8^2 + C9^2 -2*C10*C9*C8)</f>
        <v>0.21794494717703367</v>
      </c>
      <c r="F11" t="s">
        <v>17</v>
      </c>
      <c r="G11">
        <v>1</v>
      </c>
      <c r="H11">
        <v>1</v>
      </c>
    </row>
    <row r="12" spans="1:10" x14ac:dyDescent="0.2">
      <c r="A12" s="36" t="s">
        <v>19</v>
      </c>
      <c r="B12" s="14">
        <f>(LN(B3/B4)+(B6-B7+(B11^2)/2)*B5)/(B11*SQRT(B5))</f>
        <v>0.35676477719990746</v>
      </c>
      <c r="C12" s="14">
        <f>(LN(C3/C4)+(C6-C7+(C11^2)/2)*C5)/(C11*SQRT(C5))</f>
        <v>-0.13881983002287371</v>
      </c>
    </row>
    <row r="13" spans="1:10" x14ac:dyDescent="0.2">
      <c r="A13" s="36" t="s">
        <v>20</v>
      </c>
      <c r="B13" s="14">
        <f>B12-B11*SQRT(B5)</f>
        <v>0.13881983002287379</v>
      </c>
      <c r="C13" s="14">
        <f>C12-C11*SQRT(C5)</f>
        <v>-0.3567647771999074</v>
      </c>
    </row>
    <row r="14" spans="1:10" x14ac:dyDescent="0.2">
      <c r="A14" s="36" t="s">
        <v>21</v>
      </c>
      <c r="B14" s="7">
        <f>NORMSDIST(B12)</f>
        <v>0.63936604649322049</v>
      </c>
      <c r="C14" s="7">
        <f>NORMSDIST(C12)</f>
        <v>0.44479626180791582</v>
      </c>
    </row>
    <row r="15" spans="1:10" x14ac:dyDescent="0.2">
      <c r="A15" s="36" t="s">
        <v>22</v>
      </c>
      <c r="B15" s="8">
        <f>NORMSDIST(B13)</f>
        <v>0.55520373819208424</v>
      </c>
      <c r="C15" s="8">
        <f>NORMSDIST(C13)</f>
        <v>0.36063395350677951</v>
      </c>
    </row>
    <row r="16" spans="1:10" x14ac:dyDescent="0.2">
      <c r="A16" s="3" t="s">
        <v>25</v>
      </c>
      <c r="B16" s="15">
        <f>B3*B14*EXP(-B6*B5)-B4*B15*EXP(-B7*B5)</f>
        <v>0.4590165710351406</v>
      </c>
      <c r="C16" s="15">
        <f>C3*C14*EXP(-C6*C5)-C4*C15*EXP(-C7*C5)</f>
        <v>0.24612236650402819</v>
      </c>
    </row>
    <row r="19" spans="1:1" x14ac:dyDescent="0.2">
      <c r="A19" s="37" t="s">
        <v>72</v>
      </c>
    </row>
    <row r="20" spans="1:1" x14ac:dyDescent="0.2">
      <c r="A20" t="s">
        <v>74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1B339-DE65-4473-B8CB-E2F46377B993}">
  <dimension ref="B1:J31"/>
  <sheetViews>
    <sheetView tabSelected="1" workbookViewId="0">
      <selection activeCell="H12" sqref="H12"/>
    </sheetView>
  </sheetViews>
  <sheetFormatPr baseColWidth="10" defaultRowHeight="15" x14ac:dyDescent="0.2"/>
  <cols>
    <col min="3" max="3" width="16.33203125" customWidth="1"/>
    <col min="4" max="4" width="14.1640625" bestFit="1" customWidth="1"/>
    <col min="6" max="6" width="17.5" customWidth="1"/>
    <col min="7" max="7" width="14.1640625" customWidth="1"/>
    <col min="8" max="8" width="15.5" customWidth="1"/>
    <col min="13" max="13" width="18.33203125" customWidth="1"/>
  </cols>
  <sheetData>
    <row r="1" spans="2:10" x14ac:dyDescent="0.2">
      <c r="B1" s="40" t="s">
        <v>75</v>
      </c>
      <c r="C1" s="41" t="s">
        <v>76</v>
      </c>
      <c r="D1" s="42" t="s">
        <v>77</v>
      </c>
      <c r="F1" s="43" t="s">
        <v>88</v>
      </c>
      <c r="G1" s="44">
        <v>0.05</v>
      </c>
    </row>
    <row r="2" spans="2:10" x14ac:dyDescent="0.2">
      <c r="B2" s="45">
        <v>0</v>
      </c>
      <c r="C2" s="46"/>
      <c r="D2" s="47">
        <f t="shared" ref="D2:D12" si="0">+C2/(1+$G$1)^$B2</f>
        <v>0</v>
      </c>
      <c r="F2" t="s">
        <v>89</v>
      </c>
      <c r="G2" s="2">
        <f>+EXP(G1)-1</f>
        <v>5.1271096376024117E-2</v>
      </c>
    </row>
    <row r="3" spans="2:10" x14ac:dyDescent="0.2">
      <c r="B3" s="45">
        <v>1</v>
      </c>
      <c r="C3" s="34">
        <f>100000*5</f>
        <v>500000</v>
      </c>
      <c r="D3" s="34">
        <f t="shared" si="0"/>
        <v>476190.47619047615</v>
      </c>
      <c r="H3" s="56"/>
    </row>
    <row r="4" spans="2:10" x14ac:dyDescent="0.2">
      <c r="B4" s="45">
        <v>2</v>
      </c>
      <c r="C4" s="34">
        <f t="shared" ref="C4:C12" si="1">100000*5</f>
        <v>500000</v>
      </c>
      <c r="D4" s="34">
        <f t="shared" si="0"/>
        <v>453514.73922902491</v>
      </c>
      <c r="H4" s="5" t="s">
        <v>14</v>
      </c>
    </row>
    <row r="5" spans="2:10" x14ac:dyDescent="0.2">
      <c r="B5" s="45">
        <v>3</v>
      </c>
      <c r="C5" s="34">
        <f t="shared" si="1"/>
        <v>500000</v>
      </c>
      <c r="D5" s="34">
        <f t="shared" si="0"/>
        <v>431918.79926573799</v>
      </c>
      <c r="G5" s="6" t="s">
        <v>15</v>
      </c>
      <c r="H5" s="34">
        <f>+D13</f>
        <v>2164738.3353154096</v>
      </c>
    </row>
    <row r="6" spans="2:10" x14ac:dyDescent="0.2">
      <c r="B6" s="45">
        <v>4</v>
      </c>
      <c r="C6" s="34">
        <f t="shared" si="1"/>
        <v>500000</v>
      </c>
      <c r="D6" s="34">
        <f t="shared" si="0"/>
        <v>411351.23739594099</v>
      </c>
      <c r="F6" s="48">
        <v>50000</v>
      </c>
      <c r="G6" s="6" t="s">
        <v>16</v>
      </c>
      <c r="H6" s="38">
        <f>-FV(G1,H7,F6)</f>
        <v>628894.62677744147</v>
      </c>
    </row>
    <row r="7" spans="2:10" x14ac:dyDescent="0.2">
      <c r="B7" s="45">
        <v>5</v>
      </c>
      <c r="C7" s="34">
        <f t="shared" si="1"/>
        <v>500000</v>
      </c>
      <c r="D7" s="34">
        <f t="shared" si="0"/>
        <v>391763.08323422947</v>
      </c>
      <c r="G7" s="6" t="s">
        <v>17</v>
      </c>
      <c r="H7" s="9">
        <v>10</v>
      </c>
    </row>
    <row r="8" spans="2:10" x14ac:dyDescent="0.2">
      <c r="B8" s="57">
        <v>6</v>
      </c>
      <c r="C8" s="34">
        <f t="shared" si="1"/>
        <v>500000</v>
      </c>
      <c r="D8" s="34">
        <f t="shared" si="0"/>
        <v>373107.69831831381</v>
      </c>
      <c r="G8" s="6" t="s">
        <v>78</v>
      </c>
      <c r="H8" s="10">
        <f>-LN(1+I8)</f>
        <v>-0.18232155679395459</v>
      </c>
      <c r="I8" s="50">
        <v>0.2</v>
      </c>
      <c r="J8" t="s">
        <v>90</v>
      </c>
    </row>
    <row r="9" spans="2:10" x14ac:dyDescent="0.2">
      <c r="B9" s="57">
        <v>7</v>
      </c>
      <c r="C9" s="34">
        <f t="shared" si="1"/>
        <v>500000</v>
      </c>
      <c r="D9" s="34">
        <f t="shared" si="0"/>
        <v>355340.66506506072</v>
      </c>
      <c r="G9" s="6" t="s">
        <v>11</v>
      </c>
      <c r="H9" s="11">
        <v>0.4</v>
      </c>
    </row>
    <row r="10" spans="2:10" x14ac:dyDescent="0.2">
      <c r="B10" s="45">
        <v>8</v>
      </c>
      <c r="C10" s="34">
        <f t="shared" si="1"/>
        <v>500000</v>
      </c>
      <c r="D10" s="34">
        <f t="shared" si="0"/>
        <v>338419.68101434357</v>
      </c>
      <c r="G10" s="12" t="s">
        <v>19</v>
      </c>
      <c r="H10" s="9">
        <f>(LN(H5/H6)+(H8+H9*H9*0.5)*H7)/(H9*SQRT(H7))</f>
        <v>0.1682928486304775</v>
      </c>
    </row>
    <row r="11" spans="2:10" x14ac:dyDescent="0.2">
      <c r="B11" s="45">
        <v>9</v>
      </c>
      <c r="C11" s="34">
        <f t="shared" si="1"/>
        <v>500000</v>
      </c>
      <c r="D11" s="34">
        <f t="shared" si="0"/>
        <v>322304.45810889866</v>
      </c>
      <c r="G11" s="12" t="s">
        <v>20</v>
      </c>
      <c r="H11" s="9">
        <f>+H10-H9*SQRT(H7)</f>
        <v>-1.0966182154368744</v>
      </c>
    </row>
    <row r="12" spans="2:10" x14ac:dyDescent="0.2">
      <c r="B12" s="45">
        <v>10</v>
      </c>
      <c r="C12" s="34">
        <f t="shared" si="1"/>
        <v>500000</v>
      </c>
      <c r="D12" s="34">
        <f t="shared" si="0"/>
        <v>306956.62677037966</v>
      </c>
      <c r="G12" s="13" t="s">
        <v>21</v>
      </c>
      <c r="H12" s="14">
        <f>_xlfn.NORM.DIST(H10,0,1,1)</f>
        <v>0.56682355020375397</v>
      </c>
    </row>
    <row r="13" spans="2:10" x14ac:dyDescent="0.2">
      <c r="C13" s="49" t="s">
        <v>10</v>
      </c>
      <c r="D13" s="34">
        <f>SUM(D2:D7)</f>
        <v>2164738.3353154096</v>
      </c>
      <c r="G13" s="13" t="s">
        <v>22</v>
      </c>
      <c r="H13" s="14">
        <f>_xlfn.NORM.DIST(H11,0,1,1)</f>
        <v>0.1364041606708282</v>
      </c>
    </row>
    <row r="14" spans="2:10" x14ac:dyDescent="0.2">
      <c r="C14" s="49" t="s">
        <v>79</v>
      </c>
      <c r="D14" s="38">
        <f>NPV($G$1,C3:C7)</f>
        <v>2164738.3353154096</v>
      </c>
      <c r="G14" s="13" t="s">
        <v>23</v>
      </c>
      <c r="H14" s="14">
        <f>_xlfn.NORM.DIST(-H10,0,1,1)</f>
        <v>0.43317644979624603</v>
      </c>
    </row>
    <row r="15" spans="2:10" x14ac:dyDescent="0.2">
      <c r="C15" s="49" t="s">
        <v>80</v>
      </c>
      <c r="D15" s="38">
        <f>-PV($G$1,$B$7,$C$7)</f>
        <v>2164738.3353154105</v>
      </c>
      <c r="G15" s="13" t="s">
        <v>24</v>
      </c>
      <c r="H15" s="14">
        <f>_xlfn.NORM.DIST(-H11,0,1,1)</f>
        <v>0.86359583932917183</v>
      </c>
    </row>
    <row r="16" spans="2:10" x14ac:dyDescent="0.2">
      <c r="G16" s="3" t="s">
        <v>25</v>
      </c>
      <c r="H16" s="15">
        <f>+H5*H12-H6*EXP(-G2*H7)*H13</f>
        <v>1175651.3098645946</v>
      </c>
    </row>
    <row r="17" spans="2:8" ht="48" x14ac:dyDescent="0.2">
      <c r="B17" s="51" t="s">
        <v>81</v>
      </c>
      <c r="C17" s="52" t="s">
        <v>76</v>
      </c>
      <c r="D17" s="53" t="s">
        <v>82</v>
      </c>
    </row>
    <row r="18" spans="2:8" x14ac:dyDescent="0.2">
      <c r="B18" s="45">
        <v>10</v>
      </c>
      <c r="C18" s="34">
        <f t="shared" ref="C18:C23" si="2">100000*5</f>
        <v>500000</v>
      </c>
      <c r="D18" s="58">
        <f t="shared" ref="D18:D28" si="3">+C18*(1+$G$1)^$B18</f>
        <v>814447.31338872074</v>
      </c>
      <c r="G18" s="16" t="s">
        <v>83</v>
      </c>
      <c r="H18" s="48">
        <f>+H5*H12</f>
        <v>1227024.6684856447</v>
      </c>
    </row>
    <row r="19" spans="2:8" x14ac:dyDescent="0.2">
      <c r="B19" s="45">
        <v>9</v>
      </c>
      <c r="C19" s="34">
        <f t="shared" si="2"/>
        <v>500000</v>
      </c>
      <c r="D19" s="58">
        <f t="shared" si="3"/>
        <v>775664.1079892579</v>
      </c>
      <c r="H19" s="54">
        <f>+H18-H16</f>
        <v>51373.358621050138</v>
      </c>
    </row>
    <row r="20" spans="2:8" x14ac:dyDescent="0.2">
      <c r="B20" s="45">
        <v>8</v>
      </c>
      <c r="C20" s="34">
        <f t="shared" si="2"/>
        <v>500000</v>
      </c>
      <c r="D20" s="58">
        <f t="shared" si="3"/>
        <v>738727.72189453128</v>
      </c>
    </row>
    <row r="21" spans="2:8" x14ac:dyDescent="0.2">
      <c r="B21" s="45">
        <v>7</v>
      </c>
      <c r="C21" s="34">
        <f t="shared" si="2"/>
        <v>500000</v>
      </c>
      <c r="D21" s="58">
        <f t="shared" si="3"/>
        <v>703550.21132812509</v>
      </c>
    </row>
    <row r="22" spans="2:8" x14ac:dyDescent="0.2">
      <c r="B22" s="45">
        <v>6</v>
      </c>
      <c r="C22" s="34">
        <f t="shared" si="2"/>
        <v>500000</v>
      </c>
      <c r="D22" s="58">
        <f t="shared" si="3"/>
        <v>670047.8203125</v>
      </c>
    </row>
    <row r="23" spans="2:8" x14ac:dyDescent="0.2">
      <c r="B23" s="45">
        <v>5</v>
      </c>
      <c r="C23" s="34">
        <f t="shared" si="2"/>
        <v>500000</v>
      </c>
      <c r="D23" s="58">
        <f t="shared" si="3"/>
        <v>638140.78125000012</v>
      </c>
    </row>
    <row r="24" spans="2:8" x14ac:dyDescent="0.2">
      <c r="B24" s="45">
        <v>4</v>
      </c>
      <c r="C24" s="34">
        <f>100000*5</f>
        <v>500000</v>
      </c>
      <c r="D24" s="34">
        <f t="shared" si="3"/>
        <v>607753.125</v>
      </c>
    </row>
    <row r="25" spans="2:8" x14ac:dyDescent="0.2">
      <c r="B25" s="45">
        <v>3</v>
      </c>
      <c r="C25" s="34">
        <f t="shared" ref="C25:C28" si="4">100000*5</f>
        <v>500000</v>
      </c>
      <c r="D25" s="34">
        <f t="shared" si="3"/>
        <v>578812.50000000012</v>
      </c>
    </row>
    <row r="26" spans="2:8" x14ac:dyDescent="0.2">
      <c r="B26" s="45">
        <v>2</v>
      </c>
      <c r="C26" s="34">
        <f t="shared" si="4"/>
        <v>500000</v>
      </c>
      <c r="D26" s="34">
        <f t="shared" si="3"/>
        <v>551250</v>
      </c>
    </row>
    <row r="27" spans="2:8" x14ac:dyDescent="0.2">
      <c r="B27" s="45">
        <v>1</v>
      </c>
      <c r="C27" s="34">
        <f t="shared" si="4"/>
        <v>500000</v>
      </c>
      <c r="D27" s="34">
        <f t="shared" si="3"/>
        <v>525000</v>
      </c>
    </row>
    <row r="28" spans="2:8" x14ac:dyDescent="0.2">
      <c r="B28" s="45">
        <v>0</v>
      </c>
      <c r="C28" s="34">
        <f t="shared" si="4"/>
        <v>500000</v>
      </c>
      <c r="D28" s="34">
        <f t="shared" si="3"/>
        <v>500000</v>
      </c>
    </row>
    <row r="29" spans="2:8" x14ac:dyDescent="0.2">
      <c r="C29" s="55" t="s">
        <v>84</v>
      </c>
      <c r="D29" s="34">
        <f>+SUM(D19:D28)</f>
        <v>6288946.2677744143</v>
      </c>
    </row>
    <row r="30" spans="2:8" x14ac:dyDescent="0.2">
      <c r="C30" s="55" t="s">
        <v>85</v>
      </c>
      <c r="D30" s="34" t="s">
        <v>86</v>
      </c>
    </row>
    <row r="31" spans="2:8" x14ac:dyDescent="0.2">
      <c r="C31" s="55" t="s">
        <v>87</v>
      </c>
      <c r="D31" s="34">
        <f>-FV($G$1,B23,C24)</f>
        <v>2762815.6250000014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EX1</vt:lpstr>
      <vt:lpstr>Ejercicio 1</vt:lpstr>
      <vt:lpstr>EX2</vt:lpstr>
      <vt:lpstr>Ejercicio 2</vt:lpstr>
      <vt:lpstr>EX3</vt:lpstr>
      <vt:lpstr>EX4 EXCHANGE</vt:lpstr>
      <vt:lpstr>EX5 RENEWAL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IBARRA DELGADO, RICARDO</cp:lastModifiedBy>
  <dcterms:created xsi:type="dcterms:W3CDTF">2023-05-05T03:40:15Z</dcterms:created>
  <dcterms:modified xsi:type="dcterms:W3CDTF">2024-11-21T22:45:34Z</dcterms:modified>
</cp:coreProperties>
</file>