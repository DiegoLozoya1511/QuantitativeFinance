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lozoya/Documents/ITESO/Semestre 7/Finanzas Cuantitativas/Parcial2/"/>
    </mc:Choice>
  </mc:AlternateContent>
  <xr:revisionPtr revIDLastSave="0" documentId="8_{FE635DEB-D0C5-384C-A981-04450657EAE0}" xr6:coauthVersionLast="47" xr6:coauthVersionMax="47" xr10:uidLastSave="{00000000-0000-0000-0000-000000000000}"/>
  <bookViews>
    <workbookView xWindow="0" yWindow="660" windowWidth="29400" windowHeight="18460" xr2:uid="{3D29871A-2F1C-0F47-9893-3559078068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35" i="1" s="1"/>
  <c r="P22" i="1"/>
  <c r="P21" i="1"/>
  <c r="O21" i="1"/>
  <c r="O22" i="1" s="1"/>
  <c r="N21" i="1"/>
  <c r="N22" i="1" s="1"/>
  <c r="P19" i="1"/>
  <c r="O19" i="1"/>
  <c r="N19" i="1"/>
  <c r="M19" i="1"/>
  <c r="L19" i="1"/>
  <c r="K19" i="1"/>
  <c r="P17" i="1"/>
  <c r="O17" i="1"/>
  <c r="N17" i="1"/>
  <c r="M17" i="1"/>
  <c r="M21" i="1" s="1"/>
  <c r="M22" i="1" s="1"/>
  <c r="L17" i="1"/>
  <c r="L21" i="1" s="1"/>
  <c r="L22" i="1" s="1"/>
  <c r="K32" i="1" s="1"/>
  <c r="K17" i="1"/>
  <c r="K21" i="1" s="1"/>
  <c r="K14" i="1"/>
  <c r="D13" i="1"/>
  <c r="F7" i="1" s="1"/>
  <c r="D10" i="1"/>
  <c r="D9" i="1"/>
  <c r="Y8" i="1"/>
  <c r="X8" i="1"/>
  <c r="W8" i="1"/>
  <c r="V8" i="1"/>
  <c r="U8" i="1"/>
  <c r="T8" i="1"/>
  <c r="O8" i="1"/>
  <c r="N8" i="1"/>
  <c r="M8" i="1"/>
  <c r="K8" i="1"/>
  <c r="P7" i="1"/>
  <c r="P8" i="1" s="1"/>
  <c r="O7" i="1"/>
  <c r="N7" i="1"/>
  <c r="M7" i="1"/>
  <c r="L7" i="1"/>
  <c r="L8" i="1" s="1"/>
  <c r="K7" i="1"/>
  <c r="K10" i="1" s="1"/>
  <c r="G7" i="1"/>
  <c r="E7" i="1"/>
  <c r="D7" i="1"/>
  <c r="D8" i="1" s="1"/>
  <c r="K9" i="1" l="1"/>
  <c r="K33" i="1"/>
  <c r="K24" i="1"/>
  <c r="K25" i="1"/>
  <c r="K22" i="1"/>
  <c r="K23" i="1" s="1"/>
  <c r="K11" i="1"/>
  <c r="K37" i="1" l="1"/>
  <c r="K38" i="1" l="1"/>
  <c r="K39" i="1"/>
  <c r="K41" i="1"/>
  <c r="K42" i="1" l="1"/>
  <c r="K40" i="1"/>
  <c r="K43" i="1" s="1"/>
  <c r="K46" i="1" s="1"/>
</calcChain>
</file>

<file path=xl/sharedStrings.xml><?xml version="1.0" encoding="utf-8"?>
<sst xmlns="http://schemas.openxmlformats.org/spreadsheetml/2006/main" count="59" uniqueCount="33">
  <si>
    <t>Current</t>
  </si>
  <si>
    <t>$K</t>
  </si>
  <si>
    <t>Project 1</t>
  </si>
  <si>
    <t>Project 2</t>
  </si>
  <si>
    <t>Revenue</t>
  </si>
  <si>
    <t>Operating cost</t>
  </si>
  <si>
    <t>Marketing</t>
  </si>
  <si>
    <t>Available Capital</t>
  </si>
  <si>
    <t>Digital Marketing</t>
  </si>
  <si>
    <t>NET</t>
  </si>
  <si>
    <t>Investment</t>
  </si>
  <si>
    <t>PV</t>
  </si>
  <si>
    <t>Net</t>
  </si>
  <si>
    <t>NPV</t>
  </si>
  <si>
    <t>IRR</t>
  </si>
  <si>
    <t>r per</t>
  </si>
  <si>
    <t>r cont</t>
  </si>
  <si>
    <t>Project 1 delta</t>
  </si>
  <si>
    <t>REAL OPTIONS APROACH (ROA)</t>
  </si>
  <si>
    <t>Call</t>
  </si>
  <si>
    <t>So</t>
  </si>
  <si>
    <t>K</t>
  </si>
  <si>
    <t>T</t>
  </si>
  <si>
    <t>sigma</t>
  </si>
  <si>
    <t>d1</t>
  </si>
  <si>
    <t>d2</t>
  </si>
  <si>
    <t>N(d1)</t>
  </si>
  <si>
    <t>N(d2)</t>
  </si>
  <si>
    <t>N(-d1)</t>
  </si>
  <si>
    <t>N(-d2)</t>
  </si>
  <si>
    <t>Option</t>
  </si>
  <si>
    <t>If ITM, then VP=Option, if not, VP=Option + VPN</t>
  </si>
  <si>
    <t>Valor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</si>
</sst>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0.00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273540"/>
      <name val="Helvetica Neue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45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495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44" fontId="2" fillId="0" borderId="1" xfId="1" applyFont="1" applyBorder="1"/>
    <xf numFmtId="0" fontId="3" fillId="0" borderId="0" xfId="0" applyFont="1"/>
    <xf numFmtId="44" fontId="3" fillId="0" borderId="0" xfId="1" applyFont="1" applyBorder="1"/>
    <xf numFmtId="44" fontId="0" fillId="0" borderId="0" xfId="0" applyNumberFormat="1"/>
    <xf numFmtId="0" fontId="4" fillId="0" borderId="0" xfId="0" applyFont="1"/>
    <xf numFmtId="44" fontId="4" fillId="0" borderId="0" xfId="0" applyNumberFormat="1" applyFont="1"/>
    <xf numFmtId="44" fontId="4" fillId="0" borderId="0" xfId="1" applyFont="1" applyBorder="1"/>
    <xf numFmtId="9" fontId="0" fillId="0" borderId="0" xfId="0" applyNumberFormat="1"/>
    <xf numFmtId="10" fontId="0" fillId="0" borderId="0" xfId="2" applyNumberFormat="1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0" applyFont="1" applyFill="1" applyBorder="1"/>
    <xf numFmtId="164" fontId="0" fillId="0" borderId="1" xfId="1" applyNumberFormat="1" applyFont="1" applyBorder="1"/>
    <xf numFmtId="4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9" fontId="0" fillId="0" borderId="1" xfId="2" applyFont="1" applyBorder="1"/>
    <xf numFmtId="0" fontId="0" fillId="4" borderId="1" xfId="0" applyFill="1" applyBorder="1"/>
    <xf numFmtId="0" fontId="0" fillId="5" borderId="1" xfId="0" applyFill="1" applyBorder="1"/>
    <xf numFmtId="165" fontId="0" fillId="0" borderId="1" xfId="0" applyNumberFormat="1" applyBorder="1"/>
    <xf numFmtId="0" fontId="6" fillId="0" borderId="0" xfId="0" applyFont="1"/>
    <xf numFmtId="0" fontId="0" fillId="6" borderId="0" xfId="0" applyFill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0570-9E6A-D640-A7A1-DF11589FF10F}">
  <dimension ref="B2:Y46"/>
  <sheetViews>
    <sheetView tabSelected="1" workbookViewId="0">
      <selection activeCell="A2" sqref="A1:XFD1048576"/>
    </sheetView>
  </sheetViews>
  <sheetFormatPr baseColWidth="10" defaultRowHeight="16" x14ac:dyDescent="0.2"/>
  <cols>
    <col min="2" max="2" width="10.5" bestFit="1" customWidth="1"/>
    <col min="3" max="3" width="22.1640625" bestFit="1" customWidth="1"/>
    <col min="4" max="4" width="14.83203125" bestFit="1" customWidth="1"/>
    <col min="5" max="7" width="15.5" bestFit="1" customWidth="1"/>
    <col min="9" max="9" width="12.1640625" bestFit="1" customWidth="1"/>
    <col min="10" max="10" width="21.5" bestFit="1" customWidth="1"/>
    <col min="11" max="11" width="15.5" bestFit="1" customWidth="1"/>
    <col min="12" max="12" width="16.33203125" bestFit="1" customWidth="1"/>
    <col min="13" max="13" width="17.1640625" bestFit="1" customWidth="1"/>
    <col min="14" max="14" width="16.33203125" bestFit="1" customWidth="1"/>
    <col min="15" max="16" width="15.5" bestFit="1" customWidth="1"/>
    <col min="18" max="18" width="12.1640625" bestFit="1" customWidth="1"/>
    <col min="19" max="19" width="22.1640625" bestFit="1" customWidth="1"/>
    <col min="20" max="20" width="15.5" bestFit="1" customWidth="1"/>
    <col min="21" max="21" width="16.33203125" bestFit="1" customWidth="1"/>
    <col min="22" max="22" width="17.1640625" bestFit="1" customWidth="1"/>
    <col min="23" max="25" width="16.33203125" bestFit="1" customWidth="1"/>
  </cols>
  <sheetData>
    <row r="2" spans="2:25" ht="20" x14ac:dyDescent="0.2">
      <c r="B2" s="1" t="s">
        <v>0</v>
      </c>
      <c r="C2" s="2" t="s">
        <v>1</v>
      </c>
      <c r="D2" s="2">
        <v>0</v>
      </c>
      <c r="E2" s="2">
        <v>1</v>
      </c>
      <c r="F2" s="2">
        <v>2</v>
      </c>
      <c r="G2" s="2">
        <v>3</v>
      </c>
      <c r="I2" s="2" t="s">
        <v>2</v>
      </c>
      <c r="J2" s="2"/>
      <c r="K2" s="2">
        <v>0</v>
      </c>
      <c r="L2" s="2">
        <v>1</v>
      </c>
      <c r="M2" s="2">
        <v>2</v>
      </c>
      <c r="N2" s="2">
        <v>3</v>
      </c>
      <c r="O2" s="2">
        <v>4</v>
      </c>
      <c r="P2" s="2">
        <v>5</v>
      </c>
      <c r="R2" s="1" t="s">
        <v>3</v>
      </c>
      <c r="S2" s="2"/>
      <c r="T2" s="2">
        <v>0</v>
      </c>
      <c r="U2" s="2">
        <v>1</v>
      </c>
      <c r="V2" s="2">
        <v>2</v>
      </c>
      <c r="W2" s="2">
        <v>3</v>
      </c>
      <c r="X2" s="2">
        <v>4</v>
      </c>
      <c r="Y2" s="2">
        <v>5</v>
      </c>
    </row>
    <row r="3" spans="2:25" ht="20" x14ac:dyDescent="0.2">
      <c r="B3" s="1"/>
      <c r="C3" s="2" t="s">
        <v>4</v>
      </c>
      <c r="D3" s="3"/>
      <c r="E3" s="3">
        <v>7987.4</v>
      </c>
      <c r="F3" s="3">
        <v>6389.92</v>
      </c>
      <c r="G3" s="3">
        <v>5111.93</v>
      </c>
      <c r="I3" s="2"/>
      <c r="J3" s="2" t="s">
        <v>4</v>
      </c>
      <c r="K3" s="3"/>
      <c r="L3" s="3">
        <v>15974.8</v>
      </c>
      <c r="M3" s="3">
        <v>12779.84</v>
      </c>
      <c r="N3" s="3">
        <v>10223.86</v>
      </c>
      <c r="O3" s="3">
        <v>9201.4699999999993</v>
      </c>
      <c r="P3" s="3">
        <v>8281.33</v>
      </c>
      <c r="R3" s="1"/>
      <c r="S3" s="2" t="s">
        <v>4</v>
      </c>
      <c r="T3" s="3"/>
      <c r="U3" s="3">
        <v>23962.2</v>
      </c>
      <c r="V3" s="3">
        <v>19169.759999999998</v>
      </c>
      <c r="W3" s="3">
        <v>15335.79</v>
      </c>
      <c r="X3" s="3">
        <v>13802.21</v>
      </c>
      <c r="Y3" s="3">
        <v>12421.99</v>
      </c>
    </row>
    <row r="4" spans="2:25" ht="20" x14ac:dyDescent="0.2">
      <c r="B4" s="1"/>
      <c r="C4" s="2" t="s">
        <v>5</v>
      </c>
      <c r="D4" s="3"/>
      <c r="E4" s="3">
        <v>-6360.36</v>
      </c>
      <c r="F4" s="3">
        <v>-8463.56</v>
      </c>
      <c r="G4" s="3">
        <v>-7460.31</v>
      </c>
      <c r="I4" s="2"/>
      <c r="J4" s="2" t="s">
        <v>6</v>
      </c>
      <c r="K4" s="3"/>
      <c r="L4" s="3">
        <v>-3000</v>
      </c>
      <c r="M4" s="3">
        <v>-3000</v>
      </c>
      <c r="N4" s="3">
        <v>-3000</v>
      </c>
      <c r="O4" s="3">
        <v>-3000</v>
      </c>
      <c r="P4" s="3">
        <v>-3000</v>
      </c>
      <c r="R4" s="1"/>
      <c r="S4" s="2" t="s">
        <v>6</v>
      </c>
      <c r="T4" s="3"/>
      <c r="U4" s="3">
        <v>-3000</v>
      </c>
      <c r="V4" s="3">
        <v>-3000</v>
      </c>
      <c r="W4" s="3">
        <v>-3000</v>
      </c>
      <c r="X4" s="3">
        <v>-3000</v>
      </c>
      <c r="Y4" s="3">
        <v>-3000</v>
      </c>
    </row>
    <row r="5" spans="2:25" ht="20" x14ac:dyDescent="0.2">
      <c r="B5" s="1"/>
      <c r="C5" s="2" t="s">
        <v>7</v>
      </c>
      <c r="D5" s="3">
        <v>2000</v>
      </c>
      <c r="E5" s="3"/>
      <c r="F5" s="3"/>
      <c r="G5" s="3"/>
      <c r="I5" s="2"/>
      <c r="J5" s="2" t="s">
        <v>5</v>
      </c>
      <c r="K5" s="3"/>
      <c r="L5" s="3">
        <v>-7711.16</v>
      </c>
      <c r="M5" s="3">
        <v>-10261.030000000001</v>
      </c>
      <c r="N5" s="3">
        <v>-9044.7099999999991</v>
      </c>
      <c r="O5" s="3">
        <v>-7235.77</v>
      </c>
      <c r="P5" s="3">
        <v>-5788.61</v>
      </c>
      <c r="R5" s="1"/>
      <c r="S5" s="2" t="s">
        <v>8</v>
      </c>
      <c r="T5" s="3"/>
      <c r="U5" s="3">
        <v>-5528.34</v>
      </c>
      <c r="V5" s="3">
        <v>-7356.42</v>
      </c>
      <c r="W5" s="3">
        <v>-6484.4</v>
      </c>
      <c r="X5" s="3">
        <v>-5187.5200000000004</v>
      </c>
      <c r="Y5" s="3">
        <v>-4150.0200000000004</v>
      </c>
    </row>
    <row r="6" spans="2:25" ht="20" x14ac:dyDescent="0.2">
      <c r="B6" s="1"/>
      <c r="C6" s="2" t="s">
        <v>9</v>
      </c>
      <c r="D6" s="3">
        <v>2000</v>
      </c>
      <c r="E6" s="3">
        <v>1627.04</v>
      </c>
      <c r="F6" s="3">
        <v>-2073.64</v>
      </c>
      <c r="G6" s="3">
        <v>-2348.38</v>
      </c>
      <c r="I6" s="2"/>
      <c r="J6" s="2" t="s">
        <v>10</v>
      </c>
      <c r="K6" s="3">
        <v>-2000</v>
      </c>
      <c r="L6" s="3"/>
      <c r="M6" s="3"/>
      <c r="N6" s="3"/>
      <c r="O6" s="3"/>
      <c r="P6" s="3"/>
      <c r="R6" s="1"/>
      <c r="S6" s="2" t="s">
        <v>5</v>
      </c>
      <c r="T6" s="3"/>
      <c r="U6" s="3">
        <v>-7711.16</v>
      </c>
      <c r="V6" s="3">
        <v>-10261.030000000001</v>
      </c>
      <c r="W6" s="3">
        <v>-9044.7099999999991</v>
      </c>
      <c r="X6" s="3">
        <v>-7235.77</v>
      </c>
      <c r="Y6" s="3">
        <v>-5788.61</v>
      </c>
    </row>
    <row r="7" spans="2:25" ht="20" x14ac:dyDescent="0.2">
      <c r="C7" s="4" t="s">
        <v>11</v>
      </c>
      <c r="D7" s="5">
        <f>D6*EXP(-$D$13*D2)</f>
        <v>2000</v>
      </c>
      <c r="E7" s="5">
        <f t="shared" ref="E7:F7" si="0">E6*EXP(-$D$13*E2)</f>
        <v>1479.1272727272726</v>
      </c>
      <c r="F7" s="5">
        <f t="shared" si="0"/>
        <v>-1713.7520661157023</v>
      </c>
      <c r="G7" s="5">
        <f>G6*EXP(-$D$13*G2)</f>
        <v>-1764.3726521412468</v>
      </c>
      <c r="J7" s="1" t="s">
        <v>12</v>
      </c>
      <c r="K7" s="6">
        <f>SUM(K3:K6)</f>
        <v>-2000</v>
      </c>
      <c r="L7" s="6">
        <f t="shared" ref="L7:P7" si="1">SUM(L3:L6)</f>
        <v>5263.6399999999994</v>
      </c>
      <c r="M7" s="6">
        <f t="shared" si="1"/>
        <v>-481.19000000000051</v>
      </c>
      <c r="N7" s="6">
        <f t="shared" si="1"/>
        <v>-1820.8499999999985</v>
      </c>
      <c r="O7" s="6">
        <f t="shared" si="1"/>
        <v>-1034.3000000000011</v>
      </c>
      <c r="P7" s="6">
        <f t="shared" si="1"/>
        <v>-507.27999999999975</v>
      </c>
      <c r="R7" s="1"/>
      <c r="S7" s="2" t="s">
        <v>10</v>
      </c>
      <c r="T7" s="3">
        <v>-2000</v>
      </c>
      <c r="U7" s="3"/>
      <c r="V7" s="3"/>
      <c r="W7" s="3"/>
      <c r="X7" s="3"/>
      <c r="Y7" s="3"/>
    </row>
    <row r="8" spans="2:25" ht="20" x14ac:dyDescent="0.2">
      <c r="C8" s="7" t="s">
        <v>13</v>
      </c>
      <c r="D8" s="8">
        <f>SUM(D7:G7)</f>
        <v>1.0025544703235028</v>
      </c>
      <c r="E8" s="9"/>
      <c r="F8" s="9"/>
      <c r="G8" s="9"/>
      <c r="J8" s="4" t="s">
        <v>11</v>
      </c>
      <c r="K8" s="5">
        <f>K7*EXP(-$D$13*K2)</f>
        <v>-2000</v>
      </c>
      <c r="L8" s="5">
        <f>L7*EXP(-$D$13*L2)</f>
        <v>4785.1272727272717</v>
      </c>
      <c r="M8" s="5">
        <f t="shared" ref="M8:P8" si="2">M7*EXP(-$D$13*M2)</f>
        <v>-397.6776859504136</v>
      </c>
      <c r="N8" s="5">
        <f t="shared" si="2"/>
        <v>-1368.0315552216364</v>
      </c>
      <c r="O8" s="5">
        <f t="shared" si="2"/>
        <v>-706.44081688409324</v>
      </c>
      <c r="P8" s="5">
        <f t="shared" si="2"/>
        <v>-314.98096876144797</v>
      </c>
      <c r="S8" s="1" t="s">
        <v>12</v>
      </c>
      <c r="T8" s="6">
        <f>SUM(T4:T7)</f>
        <v>-2000</v>
      </c>
      <c r="U8" s="6">
        <f t="shared" ref="U8:Y8" si="3">SUM(U4:U7)</f>
        <v>-16239.5</v>
      </c>
      <c r="V8" s="6">
        <f t="shared" si="3"/>
        <v>-20617.45</v>
      </c>
      <c r="W8" s="6">
        <f t="shared" si="3"/>
        <v>-18529.11</v>
      </c>
      <c r="X8" s="6">
        <f t="shared" si="3"/>
        <v>-15423.29</v>
      </c>
      <c r="Y8" s="6">
        <f t="shared" si="3"/>
        <v>-12938.630000000001</v>
      </c>
    </row>
    <row r="9" spans="2:25" x14ac:dyDescent="0.2">
      <c r="C9" t="s">
        <v>13</v>
      </c>
      <c r="D9" s="6">
        <f>NPV(D12,E6:G6)+D6</f>
        <v>1.0025544703237301</v>
      </c>
      <c r="E9" s="9"/>
      <c r="F9" s="9"/>
      <c r="G9" s="9"/>
      <c r="J9" s="7" t="s">
        <v>13</v>
      </c>
      <c r="K9" s="8">
        <f>SUM(K8:P8)</f>
        <v>-2.0037540903193189</v>
      </c>
      <c r="L9" s="9"/>
      <c r="M9" s="9"/>
      <c r="N9" s="9"/>
    </row>
    <row r="10" spans="2:25" x14ac:dyDescent="0.2">
      <c r="C10" s="4" t="s">
        <v>14</v>
      </c>
      <c r="D10" s="10">
        <f>IRR(D6:G6)</f>
        <v>9.9847751102519533E-2</v>
      </c>
      <c r="E10" s="9"/>
      <c r="F10" s="9"/>
      <c r="G10" s="9"/>
      <c r="J10" t="s">
        <v>13</v>
      </c>
      <c r="K10" s="6">
        <f>NPV(K13,L7:P7)+K7</f>
        <v>-2.0037540903188074</v>
      </c>
      <c r="L10" s="9"/>
      <c r="M10" s="9"/>
      <c r="N10" s="9"/>
    </row>
    <row r="11" spans="2:25" x14ac:dyDescent="0.2">
      <c r="D11" s="6"/>
      <c r="E11" s="9"/>
      <c r="F11" s="9"/>
      <c r="G11" s="9"/>
      <c r="J11" s="4" t="s">
        <v>14</v>
      </c>
      <c r="K11" s="10">
        <f>IRR(K7:P7)</f>
        <v>0.10048896927638862</v>
      </c>
      <c r="L11" s="9"/>
      <c r="M11" s="9"/>
      <c r="N11" s="9"/>
    </row>
    <row r="12" spans="2:25" x14ac:dyDescent="0.2">
      <c r="C12" t="s">
        <v>15</v>
      </c>
      <c r="D12" s="11">
        <v>0.1</v>
      </c>
      <c r="K12" s="6"/>
      <c r="L12" s="9"/>
      <c r="M12" s="9"/>
      <c r="N12" s="9"/>
    </row>
    <row r="13" spans="2:25" x14ac:dyDescent="0.2">
      <c r="C13" t="s">
        <v>16</v>
      </c>
      <c r="D13" s="11">
        <f>LN(1+D12)</f>
        <v>9.5310179804324935E-2</v>
      </c>
      <c r="J13" t="s">
        <v>15</v>
      </c>
      <c r="K13" s="11">
        <v>0.1</v>
      </c>
    </row>
    <row r="14" spans="2:25" x14ac:dyDescent="0.2">
      <c r="J14" t="s">
        <v>16</v>
      </c>
      <c r="K14" s="11">
        <f>LN(1+K13)</f>
        <v>9.5310179804324935E-2</v>
      </c>
    </row>
    <row r="16" spans="2:25" ht="20" x14ac:dyDescent="0.2">
      <c r="I16" s="2" t="s">
        <v>17</v>
      </c>
      <c r="J16" s="2"/>
      <c r="K16" s="2">
        <v>0</v>
      </c>
      <c r="L16" s="2">
        <v>1</v>
      </c>
      <c r="M16" s="2">
        <v>2</v>
      </c>
      <c r="N16" s="2">
        <v>3</v>
      </c>
      <c r="O16" s="2">
        <v>4</v>
      </c>
      <c r="P16" s="2">
        <v>5</v>
      </c>
    </row>
    <row r="17" spans="9:16" ht="20" x14ac:dyDescent="0.2">
      <c r="I17" s="2"/>
      <c r="J17" s="2" t="s">
        <v>4</v>
      </c>
      <c r="K17" s="3">
        <f>K3-D3</f>
        <v>0</v>
      </c>
      <c r="L17" s="3">
        <f t="shared" ref="L17:N17" si="4">L3-E3</f>
        <v>7987.4</v>
      </c>
      <c r="M17" s="3">
        <f t="shared" si="4"/>
        <v>6389.92</v>
      </c>
      <c r="N17" s="3">
        <f t="shared" si="4"/>
        <v>5111.93</v>
      </c>
      <c r="O17" s="3">
        <f>O3-0</f>
        <v>9201.4699999999993</v>
      </c>
      <c r="P17" s="3">
        <f>P3-0</f>
        <v>8281.33</v>
      </c>
    </row>
    <row r="18" spans="9:16" ht="20" x14ac:dyDescent="0.2">
      <c r="I18" s="2"/>
      <c r="J18" s="2" t="s">
        <v>6</v>
      </c>
      <c r="K18" s="3"/>
      <c r="L18" s="3">
        <v>-3000</v>
      </c>
      <c r="M18" s="3">
        <v>-3000</v>
      </c>
      <c r="N18" s="3">
        <v>-3000</v>
      </c>
      <c r="O18" s="3">
        <v>-3000</v>
      </c>
      <c r="P18" s="3">
        <v>-3000</v>
      </c>
    </row>
    <row r="19" spans="9:16" ht="20" x14ac:dyDescent="0.2">
      <c r="I19" s="2"/>
      <c r="J19" s="2" t="s">
        <v>5</v>
      </c>
      <c r="K19" s="3">
        <f>K5-D4</f>
        <v>0</v>
      </c>
      <c r="L19" s="3">
        <f t="shared" ref="L19:N19" si="5">L5-E4</f>
        <v>-1350.8000000000002</v>
      </c>
      <c r="M19" s="3">
        <f t="shared" si="5"/>
        <v>-1797.4700000000012</v>
      </c>
      <c r="N19" s="3">
        <f t="shared" si="5"/>
        <v>-1584.3999999999987</v>
      </c>
      <c r="O19" s="3">
        <f>O5-0</f>
        <v>-7235.77</v>
      </c>
      <c r="P19" s="3">
        <f>P5-0</f>
        <v>-5788.61</v>
      </c>
    </row>
    <row r="20" spans="9:16" ht="20" x14ac:dyDescent="0.2">
      <c r="I20" s="2"/>
      <c r="J20" s="2" t="s">
        <v>10</v>
      </c>
      <c r="K20" s="3">
        <v>-2000</v>
      </c>
      <c r="L20" s="3"/>
      <c r="M20" s="3"/>
      <c r="N20" s="3"/>
      <c r="O20" s="3"/>
      <c r="P20" s="3"/>
    </row>
    <row r="21" spans="9:16" ht="20" x14ac:dyDescent="0.2">
      <c r="J21" s="1" t="s">
        <v>12</v>
      </c>
      <c r="K21" s="6">
        <f>SUM(K17:K20)</f>
        <v>-2000</v>
      </c>
      <c r="L21" s="6">
        <f>SUM(L17:L20)</f>
        <v>3636.5999999999995</v>
      </c>
      <c r="M21" s="6">
        <f>SUM(M17:M20)</f>
        <v>1592.4499999999989</v>
      </c>
      <c r="N21" s="6">
        <f>SUM(N17:N20)</f>
        <v>527.53000000000156</v>
      </c>
      <c r="O21" s="6">
        <f>SUM(O17:O20)</f>
        <v>-1034.3000000000011</v>
      </c>
      <c r="P21" s="6">
        <f>SUM(P17:P20)</f>
        <v>-507.27999999999975</v>
      </c>
    </row>
    <row r="22" spans="9:16" x14ac:dyDescent="0.2">
      <c r="J22" s="4" t="s">
        <v>11</v>
      </c>
      <c r="K22" s="5">
        <f>K21*EXP(-$D$13*K16)</f>
        <v>-2000</v>
      </c>
      <c r="L22" s="5">
        <f>L21*EXP(-$D$13*L16)</f>
        <v>3305.9999999999995</v>
      </c>
      <c r="M22" s="5">
        <f>M21*EXP(-$D$13*M16)</f>
        <v>1316.0743801652882</v>
      </c>
      <c r="N22" s="5">
        <f>N21*EXP(-$D$13*N16)</f>
        <v>396.34109691961038</v>
      </c>
      <c r="O22" s="5">
        <f>O21*EXP(-$D$13*O16)</f>
        <v>-706.44081688409324</v>
      </c>
      <c r="P22" s="5">
        <f>P21*EXP(-$D$13*P16)</f>
        <v>-314.98096876144797</v>
      </c>
    </row>
    <row r="23" spans="9:16" x14ac:dyDescent="0.2">
      <c r="J23" s="7" t="s">
        <v>13</v>
      </c>
      <c r="K23" s="8">
        <f>SUM(K22:P22)</f>
        <v>1996.993691439357</v>
      </c>
      <c r="L23" s="9"/>
      <c r="M23" s="9"/>
      <c r="N23" s="9"/>
    </row>
    <row r="24" spans="9:16" x14ac:dyDescent="0.2">
      <c r="J24" t="s">
        <v>13</v>
      </c>
      <c r="K24" s="6">
        <f>NPV(K27,L21:P21)+K21</f>
        <v>1996.993691439357</v>
      </c>
      <c r="L24" s="9"/>
      <c r="M24" s="9"/>
      <c r="N24" s="9"/>
    </row>
    <row r="25" spans="9:16" x14ac:dyDescent="0.2">
      <c r="J25" s="4" t="s">
        <v>14</v>
      </c>
      <c r="K25" s="10">
        <f>IRR(K21:P21)</f>
        <v>1.1781359597722583</v>
      </c>
      <c r="L25" s="9"/>
      <c r="M25" s="9"/>
      <c r="N25" s="9"/>
    </row>
    <row r="26" spans="9:16" x14ac:dyDescent="0.2">
      <c r="K26" s="6"/>
      <c r="L26" s="9"/>
      <c r="M26" s="9"/>
      <c r="N26" s="9"/>
    </row>
    <row r="27" spans="9:16" x14ac:dyDescent="0.2">
      <c r="J27" t="s">
        <v>15</v>
      </c>
      <c r="K27" s="11">
        <v>0.1</v>
      </c>
    </row>
    <row r="28" spans="9:16" x14ac:dyDescent="0.2">
      <c r="J28" t="s">
        <v>16</v>
      </c>
      <c r="K28" s="11">
        <f>LN(1+K27)</f>
        <v>9.5310179804324935E-2</v>
      </c>
    </row>
    <row r="30" spans="9:16" x14ac:dyDescent="0.2">
      <c r="J30" s="12" t="s">
        <v>18</v>
      </c>
      <c r="K30" s="12"/>
    </row>
    <row r="31" spans="9:16" x14ac:dyDescent="0.2">
      <c r="K31" s="13" t="s">
        <v>19</v>
      </c>
    </row>
    <row r="32" spans="9:16" x14ac:dyDescent="0.2">
      <c r="J32" s="14" t="s">
        <v>20</v>
      </c>
      <c r="K32" s="15">
        <f>SUM(L22:P22)</f>
        <v>3996.9936914393575</v>
      </c>
    </row>
    <row r="33" spans="10:11" x14ac:dyDescent="0.2">
      <c r="J33" s="14" t="s">
        <v>21</v>
      </c>
      <c r="K33" s="16">
        <f>-K21*EXP(K28*K34)</f>
        <v>2200</v>
      </c>
    </row>
    <row r="34" spans="10:11" x14ac:dyDescent="0.2">
      <c r="J34" s="14" t="s">
        <v>22</v>
      </c>
      <c r="K34" s="17">
        <v>1</v>
      </c>
    </row>
    <row r="35" spans="10:11" x14ac:dyDescent="0.2">
      <c r="J35" s="14" t="s">
        <v>16</v>
      </c>
      <c r="K35" s="18">
        <f>K28</f>
        <v>9.5310179804324935E-2</v>
      </c>
    </row>
    <row r="36" spans="10:11" x14ac:dyDescent="0.2">
      <c r="J36" s="14" t="s">
        <v>23</v>
      </c>
      <c r="K36" s="19">
        <v>0.08</v>
      </c>
    </row>
    <row r="37" spans="10:11" x14ac:dyDescent="0.2">
      <c r="J37" s="20" t="s">
        <v>24</v>
      </c>
      <c r="K37" s="17">
        <f>(LN(K32/K33)+(K35+K36*K36*0.5)*K34)/(K36*SQRT(K34))</f>
        <v>8.6949415105511516</v>
      </c>
    </row>
    <row r="38" spans="10:11" x14ac:dyDescent="0.2">
      <c r="J38" s="20" t="s">
        <v>25</v>
      </c>
      <c r="K38" s="17">
        <f>+K37-K36*SQRT(K34)</f>
        <v>8.6149415105511515</v>
      </c>
    </row>
    <row r="39" spans="10:11" x14ac:dyDescent="0.2">
      <c r="J39" s="21" t="s">
        <v>26</v>
      </c>
      <c r="K39" s="22">
        <f>_xlfn.NORM.DIST(K37,0,1,1)</f>
        <v>1</v>
      </c>
    </row>
    <row r="40" spans="10:11" x14ac:dyDescent="0.2">
      <c r="J40" s="21" t="s">
        <v>27</v>
      </c>
      <c r="K40" s="22">
        <f>_xlfn.NORM.DIST(K38,0,1,1)</f>
        <v>1</v>
      </c>
    </row>
    <row r="41" spans="10:11" x14ac:dyDescent="0.2">
      <c r="J41" s="21" t="s">
        <v>28</v>
      </c>
      <c r="K41" s="22">
        <f>_xlfn.NORM.DIST(-K37,0,1,1)</f>
        <v>1.7350424631671704E-18</v>
      </c>
    </row>
    <row r="42" spans="10:11" x14ac:dyDescent="0.2">
      <c r="J42" s="21" t="s">
        <v>29</v>
      </c>
      <c r="K42" s="22">
        <f>_xlfn.NORM.DIST(-K38,0,1,1)</f>
        <v>3.4988655075588203E-18</v>
      </c>
    </row>
    <row r="43" spans="10:11" x14ac:dyDescent="0.2">
      <c r="J43" s="23" t="s">
        <v>30</v>
      </c>
      <c r="K43" s="6">
        <f>+K32*K39-K33*EXP(-K35*K34)*K40</f>
        <v>1996.9936914393575</v>
      </c>
    </row>
    <row r="45" spans="10:11" x14ac:dyDescent="0.2">
      <c r="K45" t="s">
        <v>31</v>
      </c>
    </row>
    <row r="46" spans="10:11" x14ac:dyDescent="0.2">
      <c r="J46" s="24" t="s">
        <v>32</v>
      </c>
      <c r="K46" s="25">
        <f>IF(K32&gt;K33,K43,K43+K23)</f>
        <v>1996.9936914393575</v>
      </c>
    </row>
  </sheetData>
  <mergeCells count="1">
    <mergeCell ref="J30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Lozoya Morales</dc:creator>
  <cp:lastModifiedBy>Diego Lozoya Morales</cp:lastModifiedBy>
  <dcterms:created xsi:type="dcterms:W3CDTF">2025-11-28T01:45:01Z</dcterms:created>
  <dcterms:modified xsi:type="dcterms:W3CDTF">2025-11-28T01:45:17Z</dcterms:modified>
</cp:coreProperties>
</file>