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m/Desktop/7-ITESO/Finanzas Cuantitativas/project/"/>
    </mc:Choice>
  </mc:AlternateContent>
  <xr:revisionPtr revIDLastSave="0" documentId="13_ncr:1_{20A73C7E-E302-C34E-B61B-05B3E7B6E8C8}" xr6:coauthVersionLast="47" xr6:coauthVersionMax="47" xr10:uidLastSave="{00000000-0000-0000-0000-000000000000}"/>
  <bookViews>
    <workbookView xWindow="4420" yWindow="680" windowWidth="24980" windowHeight="18440" activeTab="3" xr2:uid="{00000000-000D-0000-FFFF-FFFF00000000}"/>
  </bookViews>
  <sheets>
    <sheet name="Options" sheetId="3" r:id="rId1"/>
    <sheet name="Hedge Profe" sheetId="2" r:id="rId2"/>
    <sheet name="Hedge AAPL" sheetId="4" r:id="rId3"/>
    <sheet name="Options 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0" i="4" l="1"/>
  <c r="Q41" i="4"/>
  <c r="U31" i="4"/>
  <c r="U29" i="4"/>
  <c r="D41" i="4"/>
  <c r="E38" i="4"/>
  <c r="C41" i="4" l="1"/>
  <c r="C38" i="4"/>
  <c r="C39" i="4"/>
  <c r="D39" i="4"/>
  <c r="U16" i="4"/>
  <c r="U15" i="4"/>
  <c r="R12" i="4"/>
  <c r="Q12" i="4"/>
  <c r="I39" i="4"/>
  <c r="E41" i="4"/>
  <c r="E40" i="4"/>
  <c r="F41" i="4" s="1"/>
  <c r="G41" i="4" s="1"/>
  <c r="H41" i="4" s="1"/>
  <c r="I41" i="4" s="1"/>
  <c r="D40" i="4"/>
  <c r="F40" i="4"/>
  <c r="G40" i="4"/>
  <c r="H40" i="4"/>
  <c r="I40" i="4"/>
  <c r="L40" i="4"/>
  <c r="M40" i="4"/>
  <c r="N40" i="4"/>
  <c r="O40" i="4"/>
  <c r="P40" i="4"/>
  <c r="Q40" i="4"/>
  <c r="C40" i="4"/>
  <c r="E39" i="4"/>
  <c r="F39" i="4"/>
  <c r="G39" i="4"/>
  <c r="H39" i="4"/>
  <c r="L39" i="4"/>
  <c r="M39" i="4"/>
  <c r="N39" i="4"/>
  <c r="O39" i="4"/>
  <c r="P39" i="4"/>
  <c r="Q39" i="4"/>
  <c r="H38" i="4"/>
  <c r="G38" i="4"/>
  <c r="F38" i="4"/>
  <c r="I38" i="4"/>
  <c r="L38" i="4"/>
  <c r="M38" i="4"/>
  <c r="N38" i="4"/>
  <c r="O38" i="4"/>
  <c r="P38" i="4"/>
  <c r="Q38" i="4"/>
  <c r="D38" i="4"/>
  <c r="R37" i="4"/>
  <c r="D37" i="4"/>
  <c r="E37" i="4"/>
  <c r="F37" i="4"/>
  <c r="G37" i="4"/>
  <c r="H37" i="4"/>
  <c r="I37" i="4"/>
  <c r="J37" i="4"/>
  <c r="J38" i="4" s="1"/>
  <c r="J39" i="4" s="1"/>
  <c r="J40" i="4" s="1"/>
  <c r="K37" i="4"/>
  <c r="L37" i="4"/>
  <c r="M37" i="4"/>
  <c r="N37" i="4"/>
  <c r="O37" i="4"/>
  <c r="P37" i="4"/>
  <c r="Q37" i="4"/>
  <c r="C37" i="4"/>
  <c r="R27" i="4"/>
  <c r="R36" i="4"/>
  <c r="R35" i="4"/>
  <c r="R34" i="4"/>
  <c r="R33" i="4"/>
  <c r="R32" i="4"/>
  <c r="R31" i="4"/>
  <c r="R30" i="4"/>
  <c r="R29" i="4"/>
  <c r="R28" i="4"/>
  <c r="U1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C5" i="4"/>
  <c r="R13" i="4"/>
  <c r="R14" i="4"/>
  <c r="R15" i="4"/>
  <c r="R16" i="4"/>
  <c r="R17" i="4"/>
  <c r="R18" i="4"/>
  <c r="R19" i="4"/>
  <c r="R20" i="4"/>
  <c r="R21" i="4"/>
  <c r="R22" i="4"/>
  <c r="Q13" i="4"/>
  <c r="Q14" i="4"/>
  <c r="Q15" i="4"/>
  <c r="Q16" i="4"/>
  <c r="Q17" i="4"/>
  <c r="Q18" i="4"/>
  <c r="Q19" i="4"/>
  <c r="Q20" i="4"/>
  <c r="Q21" i="4"/>
  <c r="C22" i="4"/>
  <c r="K38" i="4" l="1"/>
  <c r="K39" i="4" s="1"/>
  <c r="K40" i="4" s="1"/>
  <c r="J41" i="4"/>
  <c r="K41" i="4" s="1"/>
  <c r="L41" i="4" s="1"/>
  <c r="M41" i="4" s="1"/>
  <c r="N41" i="4" s="1"/>
  <c r="O41" i="4" s="1"/>
  <c r="P41" i="4" s="1"/>
  <c r="U32" i="4" s="1"/>
  <c r="U17" i="4"/>
  <c r="Q22" i="4"/>
  <c r="V15" i="4" s="1"/>
</calcChain>
</file>

<file path=xl/sharedStrings.xml><?xml version="1.0" encoding="utf-8"?>
<sst xmlns="http://schemas.openxmlformats.org/spreadsheetml/2006/main" count="94" uniqueCount="52">
  <si>
    <t>K</t>
  </si>
  <si>
    <t>Last Price</t>
  </si>
  <si>
    <t>St</t>
  </si>
  <si>
    <t>Date</t>
  </si>
  <si>
    <t>Maturity</t>
  </si>
  <si>
    <t>T</t>
  </si>
  <si>
    <t>sigma</t>
  </si>
  <si>
    <t>r</t>
  </si>
  <si>
    <t>Delta</t>
  </si>
  <si>
    <t>Gamma</t>
  </si>
  <si>
    <t>Vega</t>
  </si>
  <si>
    <t>Theta</t>
  </si>
  <si>
    <t>Rho</t>
  </si>
  <si>
    <t>DATA</t>
  </si>
  <si>
    <t>Remaining time</t>
  </si>
  <si>
    <t>Months</t>
  </si>
  <si>
    <t>S</t>
  </si>
  <si>
    <t>T-t in years</t>
  </si>
  <si>
    <t>Sigma (fixed or implied)</t>
  </si>
  <si>
    <t>r cont</t>
  </si>
  <si>
    <t>GAIN/LOSS SOLD OPTIONS at maturity</t>
  </si>
  <si>
    <t>CALL B&amp;S price for K's</t>
  </si>
  <si>
    <t>Option excercised?</t>
  </si>
  <si>
    <t>Scenario 1: NO HEDGING</t>
  </si>
  <si>
    <t>Total premiums t=T</t>
  </si>
  <si>
    <t>Buy</t>
  </si>
  <si>
    <t>Sell</t>
  </si>
  <si>
    <t>TOTAL SCENARIO 1</t>
  </si>
  <si>
    <t xml:space="preserve"> $                  -  </t>
  </si>
  <si>
    <t>TOTAL PREMIUMS</t>
  </si>
  <si>
    <t>stocks required to buy</t>
  </si>
  <si>
    <t>CALL DELTA BY STRIKE</t>
  </si>
  <si>
    <t>Scenario 2: DELTA HEDGING</t>
  </si>
  <si>
    <t>TOTAL SCENARIO 2</t>
  </si>
  <si>
    <t xml:space="preserve">                      -  </t>
  </si>
  <si>
    <t>Total delta</t>
  </si>
  <si>
    <t>Delta diff</t>
  </si>
  <si>
    <t>Delta * S</t>
  </si>
  <si>
    <t>Comission</t>
  </si>
  <si>
    <t>TOTAL GAIN/LOSS</t>
  </si>
  <si>
    <t>Scenario 3: DELTA-GAMMA HEDGING</t>
  </si>
  <si>
    <t>TOTAL Scenario 3</t>
  </si>
  <si>
    <t>t2</t>
  </si>
  <si>
    <t>Strikes (K)</t>
  </si>
  <si>
    <t>Gain/Loss at Maturity</t>
  </si>
  <si>
    <t>Total Premiums</t>
  </si>
  <si>
    <t>Option exercised?</t>
  </si>
  <si>
    <t>Stocks required to buy</t>
  </si>
  <si>
    <t>Total Delta</t>
  </si>
  <si>
    <t>Commission</t>
  </si>
  <si>
    <t>Total GAIN/LOSS</t>
  </si>
  <si>
    <t>Call Delta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</si>
</sst>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yyyy\-mm\-dd\ hh:mm:ss"/>
    <numFmt numFmtId="165" formatCode="_(&quot;$&quot;* #,##0.00_);_(&quot;$&quot;* \(#,##0.00\);_(&quot;$&quot;* &quot;-&quot;??_);_(@_)"/>
    <numFmt numFmtId="166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2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2" borderId="3" xfId="0" applyFont="1" applyFill="1" applyBorder="1"/>
    <xf numFmtId="165" fontId="2" fillId="0" borderId="4" xfId="0" applyNumberFormat="1" applyFont="1" applyBorder="1"/>
    <xf numFmtId="0" fontId="2" fillId="0" borderId="4" xfId="0" applyFont="1" applyBorder="1"/>
    <xf numFmtId="166" fontId="2" fillId="0" borderId="4" xfId="0" applyNumberFormat="1" applyFont="1" applyBorder="1"/>
    <xf numFmtId="9" fontId="2" fillId="0" borderId="4" xfId="0" applyNumberFormat="1" applyFont="1" applyBorder="1"/>
    <xf numFmtId="9" fontId="2" fillId="0" borderId="0" xfId="0" applyNumberFormat="1" applyFont="1"/>
    <xf numFmtId="0" fontId="3" fillId="0" borderId="5" xfId="0" applyFont="1" applyBorder="1" applyAlignment="1">
      <alignment wrapText="1"/>
    </xf>
    <xf numFmtId="0" fontId="3" fillId="4" borderId="1" xfId="0" applyFont="1" applyFill="1" applyBorder="1"/>
    <xf numFmtId="0" fontId="3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2" fillId="0" borderId="3" xfId="0" applyNumberFormat="1" applyFont="1" applyBorder="1"/>
    <xf numFmtId="0" fontId="5" fillId="0" borderId="4" xfId="0" applyFont="1" applyBorder="1" applyAlignment="1">
      <alignment horizontal="center" vertical="center"/>
    </xf>
    <xf numFmtId="165" fontId="2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3" fillId="5" borderId="1" xfId="0" applyFont="1" applyFill="1" applyBorder="1"/>
    <xf numFmtId="0" fontId="3" fillId="5" borderId="2" xfId="0" applyFont="1" applyFill="1" applyBorder="1"/>
    <xf numFmtId="166" fontId="2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3" xfId="0" applyFont="1" applyBorder="1"/>
    <xf numFmtId="166" fontId="2" fillId="0" borderId="0" xfId="0" applyNumberFormat="1" applyFont="1"/>
    <xf numFmtId="0" fontId="1" fillId="0" borderId="3" xfId="0" applyFont="1" applyBorder="1" applyAlignment="1">
      <alignment horizontal="center" vertical="top"/>
    </xf>
    <xf numFmtId="0" fontId="0" fillId="6" borderId="6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1" applyFont="1"/>
    <xf numFmtId="22" fontId="0" fillId="0" borderId="0" xfId="0" applyNumberFormat="1"/>
    <xf numFmtId="22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1" xfId="0" applyBorder="1"/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4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4" fontId="1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10" fontId="0" fillId="0" borderId="0" xfId="2" applyNumberFormat="1" applyFont="1"/>
    <xf numFmtId="0" fontId="0" fillId="6" borderId="7" xfId="0" applyFill="1" applyBorder="1"/>
    <xf numFmtId="0" fontId="1" fillId="0" borderId="1" xfId="0" applyFont="1" applyBorder="1" applyAlignment="1">
      <alignment horizontal="center"/>
    </xf>
    <xf numFmtId="44" fontId="0" fillId="0" borderId="1" xfId="1" applyFont="1" applyBorder="1"/>
    <xf numFmtId="0" fontId="1" fillId="0" borderId="0" xfId="0" applyFont="1" applyAlignment="1">
      <alignment horizontal="center"/>
    </xf>
    <xf numFmtId="44" fontId="1" fillId="0" borderId="0" xfId="1" applyFont="1" applyBorder="1"/>
    <xf numFmtId="44" fontId="0" fillId="0" borderId="5" xfId="1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indexed="64"/>
        </bottom>
      </border>
    </dxf>
    <dxf>
      <border outline="0">
        <top style="thin">
          <color auto="1"/>
        </top>
      </border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88282-BE5B-2141-AB77-BE27AEB5DA10}" name="Tabla1" displayName="Tabla1" ref="A1:N151" totalsRowShown="0" headerRowDxfId="9" headerRowBorderDxfId="8" tableBorderDxfId="7">
  <autoFilter ref="A1:N151" xr:uid="{7D788282-BE5B-2141-AB77-BE27AEB5DA10}"/>
  <tableColumns count="14">
    <tableColumn id="1" xr3:uid="{3E96E678-83E2-3B47-8C2B-92BC2624FF77}" name="K"/>
    <tableColumn id="2" xr3:uid="{1A086FAD-0471-A741-A898-AFA5A4AFE25B}" name="Last Price"/>
    <tableColumn id="3" xr3:uid="{4C22A846-79C4-8B4C-B347-8B6F87DE2C8A}" name="St"/>
    <tableColumn id="4" xr3:uid="{0F2A7635-FC99-0E40-883F-F0597B51B585}" name="Date" dataDxfId="6"/>
    <tableColumn id="5" xr3:uid="{DBA69CE6-5E06-4A4B-9260-5FE8A55E5EE4}" name="Maturity" dataDxfId="5"/>
    <tableColumn id="6" xr3:uid="{0CBC2E06-66AF-3A4A-9E6D-888281624C37}" name="T"/>
    <tableColumn id="7" xr3:uid="{DBE2C4B7-B8FC-C844-B046-EA5089A22CAA}" name="sigma"/>
    <tableColumn id="8" xr3:uid="{5394694D-25A2-2B48-8804-F28E787D567F}" name="r"/>
    <tableColumn id="9" xr3:uid="{F61E963E-4FE6-A645-B60D-886FBB8310D1}" name="t2"/>
    <tableColumn id="10" xr3:uid="{DEF8A524-0CD2-7B44-9549-572B601168B7}" name="Delta"/>
    <tableColumn id="11" xr3:uid="{89C80665-0D61-E44A-A9A3-47A36E2CF991}" name="Gamma"/>
    <tableColumn id="12" xr3:uid="{AA3E6A03-DE1A-CA44-BB83-0DFDE40136DD}" name="Vega"/>
    <tableColumn id="13" xr3:uid="{E128E41C-AF57-074F-B862-7C86DE6DC160}" name="Theta"/>
    <tableColumn id="14" xr3:uid="{A6EB1DE3-9BB5-6A4C-AAE5-52CBD3EEABA5}" name="Rh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BC7C6-FF4A-0443-AD39-DEFE1D41857D}" name="Tabla2" displayName="Tabla2" ref="A1:N151" totalsRowShown="0" headerRowDxfId="0" headerRowBorderDxfId="3" tableBorderDxfId="4">
  <autoFilter ref="A1:N151" xr:uid="{04EBC7C6-FF4A-0443-AD39-DEFE1D41857D}"/>
  <tableColumns count="14">
    <tableColumn id="1" xr3:uid="{D08A699A-3AE8-BE4B-96DE-465A253E523D}" name="K"/>
    <tableColumn id="2" xr3:uid="{83C2548C-910C-3D4C-B78B-4A596DC8E83C}" name="Last Price"/>
    <tableColumn id="3" xr3:uid="{DDCDFA36-DEA3-4D4D-A4CD-E3B0F13AA975}" name="St"/>
    <tableColumn id="4" xr3:uid="{4DC52B04-F81A-B84F-A4D9-2A5369368516}" name="Date" dataDxfId="2"/>
    <tableColumn id="5" xr3:uid="{265E0D6A-8A5D-414E-A752-1A147F91712B}" name="Maturity" dataDxfId="1"/>
    <tableColumn id="6" xr3:uid="{418A8ABB-BC20-4844-9493-5ACBE88DE29A}" name="T"/>
    <tableColumn id="7" xr3:uid="{85D5C6E0-D2C3-8C41-8F2A-3478096A60D3}" name="sigma"/>
    <tableColumn id="8" xr3:uid="{83C92905-0702-6940-8513-7A0BC23FEACE}" name="r"/>
    <tableColumn id="9" xr3:uid="{7E8AA000-4351-574F-8E5B-8DD0023C50E6}" name="t2"/>
    <tableColumn id="10" xr3:uid="{659D2924-170F-484F-8760-EED1E932321C}" name="Delta"/>
    <tableColumn id="11" xr3:uid="{2F0FF526-AF0C-1A4B-9F55-E533480AF8E2}" name="Gamma"/>
    <tableColumn id="12" xr3:uid="{67936A79-B0BB-A140-AE57-C4813E873F0E}" name="Vega"/>
    <tableColumn id="13" xr3:uid="{7EBB99BB-10DD-EC46-94CF-602D62874675}" name="Theta"/>
    <tableColumn id="14" xr3:uid="{7788D693-F5CA-0248-8648-A25E3E5F1FB1}" name="Rh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8D94-A7E7-CC47-993A-931432A25F19}">
  <dimension ref="A1:N151"/>
  <sheetViews>
    <sheetView workbookViewId="0">
      <selection activeCell="I29" sqref="I29"/>
    </sheetView>
  </sheetViews>
  <sheetFormatPr baseColWidth="10" defaultRowHeight="15" x14ac:dyDescent="0.2"/>
  <cols>
    <col min="4" max="5" width="17.6640625" bestFit="1" customWidth="1"/>
  </cols>
  <sheetData>
    <row r="1" spans="1:14" x14ac:dyDescent="0.2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42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</row>
    <row r="2" spans="1:14" x14ac:dyDescent="0.2">
      <c r="A2">
        <v>210</v>
      </c>
      <c r="B2">
        <v>24.85</v>
      </c>
      <c r="C2">
        <v>229.72</v>
      </c>
      <c r="D2" s="1">
        <v>45902</v>
      </c>
      <c r="E2" s="1">
        <v>45982</v>
      </c>
      <c r="F2">
        <v>0.21917800000000001</v>
      </c>
      <c r="G2">
        <v>0.2681188980478415</v>
      </c>
      <c r="H2">
        <v>3.7488444410991598E-2</v>
      </c>
      <c r="I2">
        <v>0</v>
      </c>
      <c r="J2">
        <v>0.80045677399110882</v>
      </c>
      <c r="K2">
        <v>9.6956495333919961E-3</v>
      </c>
      <c r="L2">
        <v>30.06761006729409</v>
      </c>
      <c r="M2">
        <v>-24.35256960821896</v>
      </c>
      <c r="N2">
        <v>34.856081201372923</v>
      </c>
    </row>
    <row r="3" spans="1:14" x14ac:dyDescent="0.2">
      <c r="A3">
        <v>215</v>
      </c>
      <c r="B3">
        <v>21.6</v>
      </c>
      <c r="C3">
        <v>229.72</v>
      </c>
      <c r="D3" s="1">
        <v>45902</v>
      </c>
      <c r="E3" s="1">
        <v>45982</v>
      </c>
      <c r="F3">
        <v>0.21917800000000001</v>
      </c>
      <c r="G3">
        <v>0.27920651785620032</v>
      </c>
      <c r="H3">
        <v>3.7488444410991598E-2</v>
      </c>
      <c r="I3">
        <v>0</v>
      </c>
      <c r="J3">
        <v>0.73723385542708164</v>
      </c>
      <c r="K3">
        <v>1.0861053284035509E-2</v>
      </c>
      <c r="L3">
        <v>35.074547071966748</v>
      </c>
      <c r="M3">
        <v>-27.879579414197469</v>
      </c>
      <c r="N3">
        <v>32.385162928110127</v>
      </c>
    </row>
    <row r="4" spans="1:14" x14ac:dyDescent="0.2">
      <c r="A4">
        <v>220</v>
      </c>
      <c r="B4">
        <v>17.95</v>
      </c>
      <c r="C4">
        <v>229.72</v>
      </c>
      <c r="D4" s="1">
        <v>45902</v>
      </c>
      <c r="E4" s="1">
        <v>45982</v>
      </c>
      <c r="F4">
        <v>0.21917800000000001</v>
      </c>
      <c r="G4">
        <v>0.26955170887000918</v>
      </c>
      <c r="H4">
        <v>3.7488444410991598E-2</v>
      </c>
      <c r="I4">
        <v>0</v>
      </c>
      <c r="J4">
        <v>0.68110938639624319</v>
      </c>
      <c r="K4">
        <v>1.231795917875932E-2</v>
      </c>
      <c r="L4">
        <v>38.403908375262482</v>
      </c>
      <c r="M4">
        <v>-28.807833063698279</v>
      </c>
      <c r="N4">
        <v>30.35931973698899</v>
      </c>
    </row>
    <row r="5" spans="1:14" x14ac:dyDescent="0.2">
      <c r="A5">
        <v>225</v>
      </c>
      <c r="B5">
        <v>14.75</v>
      </c>
      <c r="C5">
        <v>229.72</v>
      </c>
      <c r="D5" s="1">
        <v>45902</v>
      </c>
      <c r="E5" s="1">
        <v>45982</v>
      </c>
      <c r="F5">
        <v>0.21917800000000001</v>
      </c>
      <c r="G5">
        <v>0.2641585428475528</v>
      </c>
      <c r="H5">
        <v>3.7488444410991598E-2</v>
      </c>
      <c r="I5">
        <v>0</v>
      </c>
      <c r="J5">
        <v>0.6164414315867397</v>
      </c>
      <c r="K5">
        <v>1.344013182136795E-2</v>
      </c>
      <c r="L5">
        <v>41.064142986268472</v>
      </c>
      <c r="M5">
        <v>-29.50148508561071</v>
      </c>
      <c r="N5">
        <v>27.804685609207318</v>
      </c>
    </row>
    <row r="6" spans="1:14" x14ac:dyDescent="0.2">
      <c r="A6">
        <v>230</v>
      </c>
      <c r="B6">
        <v>11.65</v>
      </c>
      <c r="C6">
        <v>229.72</v>
      </c>
      <c r="D6" s="1">
        <v>45902</v>
      </c>
      <c r="E6" s="1">
        <v>45982</v>
      </c>
      <c r="F6">
        <v>0.21917800000000001</v>
      </c>
      <c r="G6">
        <v>0.25345379541652202</v>
      </c>
      <c r="H6">
        <v>3.7488444410991598E-2</v>
      </c>
      <c r="I6">
        <v>0</v>
      </c>
      <c r="J6">
        <v>0.54708878881942791</v>
      </c>
      <c r="K6">
        <v>1.453364470061721E-2</v>
      </c>
      <c r="L6">
        <v>42.605720391380757</v>
      </c>
      <c r="M6">
        <v>-28.908977094600171</v>
      </c>
      <c r="N6">
        <v>24.992261656509069</v>
      </c>
    </row>
    <row r="7" spans="1:14" x14ac:dyDescent="0.2">
      <c r="A7">
        <v>235</v>
      </c>
      <c r="B7">
        <v>9.1199999999999992</v>
      </c>
      <c r="C7">
        <v>229.72</v>
      </c>
      <c r="D7" s="1">
        <v>45902</v>
      </c>
      <c r="E7" s="1">
        <v>45982</v>
      </c>
      <c r="F7">
        <v>0.21917800000000001</v>
      </c>
      <c r="G7">
        <v>0.24806825618645731</v>
      </c>
      <c r="H7">
        <v>3.7488444410991598E-2</v>
      </c>
      <c r="I7">
        <v>0</v>
      </c>
      <c r="J7">
        <v>0.47335027960585019</v>
      </c>
      <c r="K7">
        <v>1.492007994009642E-2</v>
      </c>
      <c r="L7">
        <v>42.809180945268423</v>
      </c>
      <c r="M7">
        <v>-27.960493836184568</v>
      </c>
      <c r="N7">
        <v>21.83407975327038</v>
      </c>
    </row>
    <row r="8" spans="1:14" x14ac:dyDescent="0.2">
      <c r="A8">
        <v>240</v>
      </c>
      <c r="B8">
        <v>6.82</v>
      </c>
      <c r="C8">
        <v>229.72</v>
      </c>
      <c r="D8" s="1">
        <v>45902</v>
      </c>
      <c r="E8" s="1">
        <v>45982</v>
      </c>
      <c r="F8">
        <v>0.21917800000000001</v>
      </c>
      <c r="G8">
        <v>0.23952138263225051</v>
      </c>
      <c r="H8">
        <v>3.7488444410991598E-2</v>
      </c>
      <c r="I8">
        <v>0</v>
      </c>
      <c r="J8">
        <v>0.39702359890206362</v>
      </c>
      <c r="K8">
        <v>1.496819872867401E-2</v>
      </c>
      <c r="L8">
        <v>41.467552712463998</v>
      </c>
      <c r="M8">
        <v>-25.821652113631369</v>
      </c>
      <c r="N8">
        <v>18.495173588095149</v>
      </c>
    </row>
    <row r="9" spans="1:14" x14ac:dyDescent="0.2">
      <c r="A9">
        <v>250</v>
      </c>
      <c r="B9">
        <v>3.6</v>
      </c>
      <c r="C9">
        <v>229.72</v>
      </c>
      <c r="D9" s="1">
        <v>45902</v>
      </c>
      <c r="E9" s="1">
        <v>45982</v>
      </c>
      <c r="F9">
        <v>0.21917800000000001</v>
      </c>
      <c r="G9">
        <v>0.22968344640029831</v>
      </c>
      <c r="H9">
        <v>3.7488444410991598E-2</v>
      </c>
      <c r="I9">
        <v>0</v>
      </c>
      <c r="J9">
        <v>0.25572556647362282</v>
      </c>
      <c r="K9">
        <v>1.301881774635618E-2</v>
      </c>
      <c r="L9">
        <v>34.585640131362346</v>
      </c>
      <c r="M9">
        <v>-20.188994906772422</v>
      </c>
      <c r="N9">
        <v>12.086631550863441</v>
      </c>
    </row>
    <row r="10" spans="1:14" x14ac:dyDescent="0.2">
      <c r="A10">
        <v>260</v>
      </c>
      <c r="B10">
        <v>1.79</v>
      </c>
      <c r="C10">
        <v>229.72</v>
      </c>
      <c r="D10" s="1">
        <v>45902</v>
      </c>
      <c r="E10" s="1">
        <v>45982</v>
      </c>
      <c r="F10">
        <v>0.21917800000000001</v>
      </c>
      <c r="G10">
        <v>0.2259434495042901</v>
      </c>
      <c r="H10">
        <v>3.7488444410991598E-2</v>
      </c>
      <c r="I10">
        <v>0</v>
      </c>
      <c r="J10">
        <v>0.14917127799492261</v>
      </c>
      <c r="K10">
        <v>9.5598075407747358E-3</v>
      </c>
      <c r="L10">
        <v>24.982936199177502</v>
      </c>
      <c r="M10">
        <v>-14.09458260513701</v>
      </c>
      <c r="N10">
        <v>7.1183811072351446</v>
      </c>
    </row>
    <row r="11" spans="1:14" x14ac:dyDescent="0.2">
      <c r="A11">
        <v>265</v>
      </c>
      <c r="B11">
        <v>1.24</v>
      </c>
      <c r="C11">
        <v>229.72</v>
      </c>
      <c r="D11" s="1">
        <v>45902</v>
      </c>
      <c r="E11" s="1">
        <v>45982</v>
      </c>
      <c r="F11">
        <v>0.21917800000000001</v>
      </c>
      <c r="G11">
        <v>0.22536171834888</v>
      </c>
      <c r="H11">
        <v>3.7488444410991598E-2</v>
      </c>
      <c r="I11">
        <v>0</v>
      </c>
      <c r="J11">
        <v>0.1105719099640218</v>
      </c>
      <c r="K11">
        <v>7.7871346888946308E-3</v>
      </c>
      <c r="L11">
        <v>20.297960675056931</v>
      </c>
      <c r="M11">
        <v>-11.34105833751584</v>
      </c>
      <c r="N11">
        <v>5.295467418419495</v>
      </c>
    </row>
    <row r="12" spans="1:14" x14ac:dyDescent="0.2">
      <c r="A12">
        <v>210</v>
      </c>
      <c r="B12">
        <v>33.520000000000003</v>
      </c>
      <c r="C12">
        <v>239.78</v>
      </c>
      <c r="D12" s="1">
        <v>45904</v>
      </c>
      <c r="E12" s="1">
        <v>45982</v>
      </c>
      <c r="F12">
        <v>0.213699</v>
      </c>
      <c r="G12">
        <v>0.28123511515548072</v>
      </c>
      <c r="H12">
        <v>3.7488444410991598E-2</v>
      </c>
      <c r="I12">
        <v>0</v>
      </c>
      <c r="J12">
        <v>0.87424113915180057</v>
      </c>
      <c r="K12">
        <v>6.6314643581825549E-3</v>
      </c>
      <c r="L12">
        <v>22.91434182303129</v>
      </c>
      <c r="M12">
        <v>-21.679947364975639</v>
      </c>
      <c r="N12">
        <v>37.633577852010063</v>
      </c>
    </row>
    <row r="13" spans="1:14" x14ac:dyDescent="0.2">
      <c r="A13">
        <v>215</v>
      </c>
      <c r="B13">
        <v>28.7</v>
      </c>
      <c r="C13">
        <v>239.78</v>
      </c>
      <c r="D13" s="1">
        <v>45904</v>
      </c>
      <c r="E13" s="1">
        <v>45982</v>
      </c>
      <c r="F13">
        <v>0.213699</v>
      </c>
      <c r="G13">
        <v>0.25332637408448472</v>
      </c>
      <c r="H13">
        <v>3.7488444410991598E-2</v>
      </c>
      <c r="I13">
        <v>0</v>
      </c>
      <c r="J13">
        <v>0.85507576140801778</v>
      </c>
      <c r="K13">
        <v>8.114092766755069E-3</v>
      </c>
      <c r="L13">
        <v>25.25508166746442</v>
      </c>
      <c r="M13">
        <v>-21.57947465668072</v>
      </c>
      <c r="N13">
        <v>37.681558780035211</v>
      </c>
    </row>
    <row r="14" spans="1:14" x14ac:dyDescent="0.2">
      <c r="A14">
        <v>220</v>
      </c>
      <c r="B14">
        <v>25.35</v>
      </c>
      <c r="C14">
        <v>239.78</v>
      </c>
      <c r="D14" s="1">
        <v>45904</v>
      </c>
      <c r="E14" s="1">
        <v>45982</v>
      </c>
      <c r="F14">
        <v>0.213699</v>
      </c>
      <c r="G14">
        <v>0.27312033714954592</v>
      </c>
      <c r="H14">
        <v>3.7488444410991598E-2</v>
      </c>
      <c r="I14">
        <v>0</v>
      </c>
      <c r="J14">
        <v>0.79059221490027631</v>
      </c>
      <c r="K14">
        <v>9.5040013204710228E-3</v>
      </c>
      <c r="L14">
        <v>31.89252682417991</v>
      </c>
      <c r="M14">
        <v>-26.536580744001881</v>
      </c>
      <c r="N14">
        <v>35.093265396769837</v>
      </c>
    </row>
    <row r="15" spans="1:14" x14ac:dyDescent="0.2">
      <c r="A15">
        <v>225</v>
      </c>
      <c r="B15">
        <v>21.34</v>
      </c>
      <c r="C15">
        <v>239.78</v>
      </c>
      <c r="D15" s="1">
        <v>45904</v>
      </c>
      <c r="E15" s="1">
        <v>45982</v>
      </c>
      <c r="F15">
        <v>0.213699</v>
      </c>
      <c r="G15">
        <v>0.2613594547814197</v>
      </c>
      <c r="H15">
        <v>3.7488444410991598E-2</v>
      </c>
      <c r="I15">
        <v>0</v>
      </c>
      <c r="J15">
        <v>0.74321752462232604</v>
      </c>
      <c r="K15">
        <v>1.112448513048587E-2</v>
      </c>
      <c r="L15">
        <v>35.722885944119362</v>
      </c>
      <c r="M15">
        <v>-27.725774425149691</v>
      </c>
      <c r="N15">
        <v>33.522683905354533</v>
      </c>
    </row>
    <row r="16" spans="1:14" x14ac:dyDescent="0.2">
      <c r="A16">
        <v>230</v>
      </c>
      <c r="B16">
        <v>17.649999999999999</v>
      </c>
      <c r="C16">
        <v>239.78</v>
      </c>
      <c r="D16" s="1">
        <v>45904</v>
      </c>
      <c r="E16" s="1">
        <v>45982</v>
      </c>
      <c r="F16">
        <v>0.213699</v>
      </c>
      <c r="G16">
        <v>0.25209382480614129</v>
      </c>
      <c r="H16">
        <v>3.7488444410991598E-2</v>
      </c>
      <c r="I16">
        <v>0</v>
      </c>
      <c r="J16">
        <v>0.68592987651994386</v>
      </c>
      <c r="K16">
        <v>1.269675772556465E-2</v>
      </c>
      <c r="L16">
        <v>39.326332041823953</v>
      </c>
      <c r="M16">
        <v>-28.700141746784279</v>
      </c>
      <c r="N16">
        <v>31.37577137746819</v>
      </c>
    </row>
    <row r="17" spans="1:14" x14ac:dyDescent="0.2">
      <c r="A17">
        <v>235</v>
      </c>
      <c r="B17">
        <v>14.3</v>
      </c>
      <c r="C17">
        <v>239.78</v>
      </c>
      <c r="D17" s="1">
        <v>45904</v>
      </c>
      <c r="E17" s="1">
        <v>45982</v>
      </c>
      <c r="F17">
        <v>0.213699</v>
      </c>
      <c r="G17">
        <v>0.2442123465629551</v>
      </c>
      <c r="H17">
        <v>3.7488444410991598E-2</v>
      </c>
      <c r="I17">
        <v>0</v>
      </c>
      <c r="J17">
        <v>0.62011211973001479</v>
      </c>
      <c r="K17">
        <v>1.4064532596519779E-2</v>
      </c>
      <c r="L17">
        <v>42.200862018442017</v>
      </c>
      <c r="M17">
        <v>-29.151379304815212</v>
      </c>
      <c r="N17">
        <v>28.719112055031879</v>
      </c>
    </row>
    <row r="18" spans="1:14" x14ac:dyDescent="0.2">
      <c r="A18">
        <v>240</v>
      </c>
      <c r="B18">
        <v>11.3</v>
      </c>
      <c r="C18">
        <v>239.78</v>
      </c>
      <c r="D18" s="1">
        <v>45904</v>
      </c>
      <c r="E18" s="1">
        <v>45982</v>
      </c>
      <c r="F18">
        <v>0.213699</v>
      </c>
      <c r="G18">
        <v>0.2368321216681929</v>
      </c>
      <c r="H18">
        <v>3.7488444410991598E-2</v>
      </c>
      <c r="I18">
        <v>0</v>
      </c>
      <c r="J18">
        <v>0.54757562392379056</v>
      </c>
      <c r="K18">
        <v>1.508871810376387E-2</v>
      </c>
      <c r="L18">
        <v>43.905745141221352</v>
      </c>
      <c r="M18">
        <v>-28.827818540201761</v>
      </c>
      <c r="N18">
        <v>25.64338482744596</v>
      </c>
    </row>
    <row r="19" spans="1:14" x14ac:dyDescent="0.2">
      <c r="A19">
        <v>250</v>
      </c>
      <c r="B19">
        <v>6.43</v>
      </c>
      <c r="C19">
        <v>239.78</v>
      </c>
      <c r="D19" s="1">
        <v>45904</v>
      </c>
      <c r="E19" s="1">
        <v>45982</v>
      </c>
      <c r="F19">
        <v>0.213699</v>
      </c>
      <c r="G19">
        <v>0.22265646890818089</v>
      </c>
      <c r="H19">
        <v>3.7488444410991598E-2</v>
      </c>
      <c r="I19">
        <v>0</v>
      </c>
      <c r="J19">
        <v>0.39119063916436753</v>
      </c>
      <c r="K19">
        <v>1.5559409084066981E-2</v>
      </c>
      <c r="L19">
        <v>42.565409735364923</v>
      </c>
      <c r="M19">
        <v>-25.45015068364982</v>
      </c>
      <c r="N19">
        <v>18.67081569506065</v>
      </c>
    </row>
    <row r="20" spans="1:14" x14ac:dyDescent="0.2">
      <c r="A20">
        <v>260</v>
      </c>
      <c r="B20">
        <v>3.35</v>
      </c>
      <c r="C20">
        <v>239.78</v>
      </c>
      <c r="D20" s="1">
        <v>45904</v>
      </c>
      <c r="E20" s="1">
        <v>45982</v>
      </c>
      <c r="F20">
        <v>0.213699</v>
      </c>
      <c r="G20">
        <v>0.2155586491226899</v>
      </c>
      <c r="H20">
        <v>3.7488444410991598E-2</v>
      </c>
      <c r="I20">
        <v>0</v>
      </c>
      <c r="J20">
        <v>0.24754304141454761</v>
      </c>
      <c r="K20">
        <v>1.322995583672029E-2</v>
      </c>
      <c r="L20">
        <v>35.039044073644668</v>
      </c>
      <c r="M20">
        <v>-19.771553193509899</v>
      </c>
      <c r="N20">
        <v>11.96839851364172</v>
      </c>
    </row>
    <row r="21" spans="1:14" x14ac:dyDescent="0.2">
      <c r="A21">
        <v>265</v>
      </c>
      <c r="B21">
        <v>2.33</v>
      </c>
      <c r="C21">
        <v>239.78</v>
      </c>
      <c r="D21" s="1">
        <v>45904</v>
      </c>
      <c r="E21" s="1">
        <v>45982</v>
      </c>
      <c r="F21">
        <v>0.213699</v>
      </c>
      <c r="G21">
        <v>0.21304212648126181</v>
      </c>
      <c r="H21">
        <v>3.7488444410991598E-2</v>
      </c>
      <c r="I21">
        <v>0</v>
      </c>
      <c r="J21">
        <v>0.1881094714547456</v>
      </c>
      <c r="K21">
        <v>1.142088158366138E-2</v>
      </c>
      <c r="L21">
        <v>29.894653127764851</v>
      </c>
      <c r="M21">
        <v>-16.504945135424911</v>
      </c>
      <c r="N21">
        <v>9.1409510183711618</v>
      </c>
    </row>
    <row r="22" spans="1:14" x14ac:dyDescent="0.2">
      <c r="A22">
        <v>210</v>
      </c>
      <c r="B22">
        <v>28.8</v>
      </c>
      <c r="C22">
        <v>234.35</v>
      </c>
      <c r="D22" s="1">
        <v>45909</v>
      </c>
      <c r="E22" s="1">
        <v>45982</v>
      </c>
      <c r="F22">
        <v>0.2</v>
      </c>
      <c r="G22">
        <v>0.29099144926489801</v>
      </c>
      <c r="H22">
        <v>3.7488444410991598E-2</v>
      </c>
      <c r="I22">
        <v>0</v>
      </c>
      <c r="J22">
        <v>0.83290629127856419</v>
      </c>
      <c r="K22">
        <v>8.2061166754770504E-3</v>
      </c>
      <c r="L22">
        <v>26.22876405742365</v>
      </c>
      <c r="M22">
        <v>-25.318627011669498</v>
      </c>
      <c r="N22">
        <v>33.27831787065908</v>
      </c>
    </row>
    <row r="23" spans="1:14" x14ac:dyDescent="0.2">
      <c r="A23">
        <v>215</v>
      </c>
      <c r="B23">
        <v>24.07</v>
      </c>
      <c r="C23">
        <v>234.35</v>
      </c>
      <c r="D23" s="1">
        <v>45909</v>
      </c>
      <c r="E23" s="1">
        <v>45982</v>
      </c>
      <c r="F23">
        <v>0.2</v>
      </c>
      <c r="G23">
        <v>0.26077585918884322</v>
      </c>
      <c r="H23">
        <v>3.7488444410991598E-2</v>
      </c>
      <c r="I23">
        <v>0</v>
      </c>
      <c r="J23">
        <v>0.8055316159428596</v>
      </c>
      <c r="K23">
        <v>1.00712240678322E-2</v>
      </c>
      <c r="L23">
        <v>28.847591181197629</v>
      </c>
      <c r="M23">
        <v>-24.981472693016869</v>
      </c>
      <c r="N23">
        <v>32.941266838445898</v>
      </c>
    </row>
    <row r="24" spans="1:14" x14ac:dyDescent="0.2">
      <c r="A24">
        <v>220</v>
      </c>
      <c r="B24">
        <v>20.3</v>
      </c>
      <c r="C24">
        <v>234.35</v>
      </c>
      <c r="D24" s="1">
        <v>45909</v>
      </c>
      <c r="E24" s="1">
        <v>45982</v>
      </c>
      <c r="F24">
        <v>0.2</v>
      </c>
      <c r="G24">
        <v>0.25793465000002708</v>
      </c>
      <c r="H24">
        <v>3.7488444410991598E-2</v>
      </c>
      <c r="I24">
        <v>0</v>
      </c>
      <c r="J24">
        <v>0.74871790112200487</v>
      </c>
      <c r="K24">
        <v>1.178715373930664E-2</v>
      </c>
      <c r="L24">
        <v>33.394776945814037</v>
      </c>
      <c r="M24">
        <v>-27.350958774386129</v>
      </c>
      <c r="N24">
        <v>31.03240802550798</v>
      </c>
    </row>
    <row r="25" spans="1:14" x14ac:dyDescent="0.2">
      <c r="A25">
        <v>225</v>
      </c>
      <c r="B25">
        <v>17.100000000000001</v>
      </c>
      <c r="C25">
        <v>234.35</v>
      </c>
      <c r="D25" s="1">
        <v>45909</v>
      </c>
      <c r="E25" s="1">
        <v>45982</v>
      </c>
      <c r="F25">
        <v>0.2</v>
      </c>
      <c r="G25">
        <v>0.26207685941350778</v>
      </c>
      <c r="H25">
        <v>3.7488444410991598E-2</v>
      </c>
      <c r="I25">
        <v>0</v>
      </c>
      <c r="J25">
        <v>0.6808084763358786</v>
      </c>
      <c r="K25">
        <v>1.300593611815894E-2</v>
      </c>
      <c r="L25">
        <v>37.439514096511743</v>
      </c>
      <c r="M25">
        <v>-29.87020960767504</v>
      </c>
      <c r="N25">
        <v>28.48949328585871</v>
      </c>
    </row>
    <row r="26" spans="1:14" x14ac:dyDescent="0.2">
      <c r="A26">
        <v>230</v>
      </c>
      <c r="B26">
        <v>13.81</v>
      </c>
      <c r="C26">
        <v>234.35</v>
      </c>
      <c r="D26" s="1">
        <v>45909</v>
      </c>
      <c r="E26" s="1">
        <v>45982</v>
      </c>
      <c r="F26">
        <v>0.2</v>
      </c>
      <c r="G26">
        <v>0.25453048273371659</v>
      </c>
      <c r="H26">
        <v>3.7488444410991598E-2</v>
      </c>
      <c r="I26">
        <v>0</v>
      </c>
      <c r="J26">
        <v>0.61309052898841576</v>
      </c>
      <c r="K26">
        <v>1.4350145879685231E-2</v>
      </c>
      <c r="L26">
        <v>40.119547731163863</v>
      </c>
      <c r="M26">
        <v>-30.39766013422194</v>
      </c>
      <c r="N26">
        <v>25.973553093687048</v>
      </c>
    </row>
    <row r="27" spans="1:14" x14ac:dyDescent="0.2">
      <c r="A27">
        <v>235</v>
      </c>
      <c r="B27">
        <v>10.85</v>
      </c>
      <c r="C27">
        <v>234.35</v>
      </c>
      <c r="D27" s="1">
        <v>45909</v>
      </c>
      <c r="E27" s="1">
        <v>45982</v>
      </c>
      <c r="F27">
        <v>0.2</v>
      </c>
      <c r="G27">
        <v>0.24676403564649541</v>
      </c>
      <c r="H27">
        <v>3.7488444410991598E-2</v>
      </c>
      <c r="I27">
        <v>0</v>
      </c>
      <c r="J27">
        <v>0.53904190262530194</v>
      </c>
      <c r="K27">
        <v>1.535189180131483E-2</v>
      </c>
      <c r="L27">
        <v>41.610571097728489</v>
      </c>
      <c r="M27">
        <v>-29.998939376336391</v>
      </c>
      <c r="N27">
        <v>23.094894014806751</v>
      </c>
    </row>
    <row r="28" spans="1:14" x14ac:dyDescent="0.2">
      <c r="A28">
        <v>240</v>
      </c>
      <c r="B28">
        <v>8.3000000000000007</v>
      </c>
      <c r="C28">
        <v>234.35</v>
      </c>
      <c r="D28" s="1">
        <v>45909</v>
      </c>
      <c r="E28" s="1">
        <v>45982</v>
      </c>
      <c r="F28">
        <v>0.2</v>
      </c>
      <c r="G28">
        <v>0.23999154871587849</v>
      </c>
      <c r="H28">
        <v>3.7488444410991598E-2</v>
      </c>
      <c r="I28">
        <v>0</v>
      </c>
      <c r="J28">
        <v>0.46078924365658352</v>
      </c>
      <c r="K28">
        <v>1.5784457952496059E-2</v>
      </c>
      <c r="L28">
        <v>41.608832705991667</v>
      </c>
      <c r="M28">
        <v>-28.70149204536159</v>
      </c>
      <c r="N28">
        <v>19.937191850184071</v>
      </c>
    </row>
    <row r="29" spans="1:14" x14ac:dyDescent="0.2">
      <c r="A29">
        <v>250</v>
      </c>
      <c r="B29">
        <v>4.4800000000000004</v>
      </c>
      <c r="C29">
        <v>234.35</v>
      </c>
      <c r="D29" s="1">
        <v>45909</v>
      </c>
      <c r="E29" s="1">
        <v>45982</v>
      </c>
      <c r="F29">
        <v>0.2</v>
      </c>
      <c r="G29">
        <v>0.2297036243928918</v>
      </c>
      <c r="H29">
        <v>3.7488444410991598E-2</v>
      </c>
      <c r="I29">
        <v>0</v>
      </c>
      <c r="J29">
        <v>0.30679923147928378</v>
      </c>
      <c r="K29">
        <v>1.458803041758832E-2</v>
      </c>
      <c r="L29">
        <v>36.806491341743261</v>
      </c>
      <c r="M29">
        <v>-23.663872092782789</v>
      </c>
      <c r="N29">
        <v>13.483679979432299</v>
      </c>
    </row>
    <row r="30" spans="1:14" x14ac:dyDescent="0.2">
      <c r="A30">
        <v>260</v>
      </c>
      <c r="B30">
        <v>2.2200000000000002</v>
      </c>
      <c r="C30">
        <v>234.35</v>
      </c>
      <c r="D30" s="1">
        <v>45909</v>
      </c>
      <c r="E30" s="1">
        <v>45982</v>
      </c>
      <c r="F30">
        <v>0.2</v>
      </c>
      <c r="G30">
        <v>0.22459118913151899</v>
      </c>
      <c r="H30">
        <v>3.7488444410991598E-2</v>
      </c>
      <c r="I30">
        <v>0</v>
      </c>
      <c r="J30">
        <v>0.18161220025306299</v>
      </c>
      <c r="K30">
        <v>1.121033797230743E-2</v>
      </c>
      <c r="L30">
        <v>27.654851578243331</v>
      </c>
      <c r="M30">
        <v>-17.039904558453529</v>
      </c>
      <c r="N30">
        <v>8.0681638258469732</v>
      </c>
    </row>
    <row r="31" spans="1:14" x14ac:dyDescent="0.2">
      <c r="A31">
        <v>265</v>
      </c>
      <c r="B31">
        <v>1.52</v>
      </c>
      <c r="C31">
        <v>234.35</v>
      </c>
      <c r="D31" s="1">
        <v>45909</v>
      </c>
      <c r="E31" s="1">
        <v>45982</v>
      </c>
      <c r="F31">
        <v>0.2</v>
      </c>
      <c r="G31">
        <v>0.22326772237229109</v>
      </c>
      <c r="H31">
        <v>3.7488444410991598E-2</v>
      </c>
      <c r="I31">
        <v>0</v>
      </c>
      <c r="J31">
        <v>0.13436482455081539</v>
      </c>
      <c r="K31">
        <v>9.2487985234051828E-3</v>
      </c>
      <c r="L31">
        <v>22.681468653261909</v>
      </c>
      <c r="M31">
        <v>-13.783568186957041</v>
      </c>
      <c r="N31">
        <v>5.9936793266720851</v>
      </c>
    </row>
    <row r="32" spans="1:14" x14ac:dyDescent="0.2">
      <c r="A32">
        <v>210</v>
      </c>
      <c r="B32">
        <v>25.15</v>
      </c>
      <c r="C32">
        <v>230.03</v>
      </c>
      <c r="D32" s="1">
        <v>45911</v>
      </c>
      <c r="E32" s="1">
        <v>45982</v>
      </c>
      <c r="F32">
        <v>0.194521</v>
      </c>
      <c r="G32">
        <v>0.29158559711031778</v>
      </c>
      <c r="H32">
        <v>3.7488444410991598E-2</v>
      </c>
      <c r="I32">
        <v>0</v>
      </c>
      <c r="J32">
        <v>0.79656293337791584</v>
      </c>
      <c r="K32">
        <v>9.5608655453251808E-3</v>
      </c>
      <c r="L32">
        <v>28.69450460641583</v>
      </c>
      <c r="M32">
        <v>-27.432728965860061</v>
      </c>
      <c r="N32">
        <v>30.75053551986823</v>
      </c>
    </row>
    <row r="33" spans="1:14" x14ac:dyDescent="0.2">
      <c r="A33">
        <v>215</v>
      </c>
      <c r="B33">
        <v>21.01</v>
      </c>
      <c r="C33">
        <v>230.03</v>
      </c>
      <c r="D33" s="1">
        <v>45911</v>
      </c>
      <c r="E33" s="1">
        <v>45982</v>
      </c>
      <c r="F33">
        <v>0.194521</v>
      </c>
      <c r="G33">
        <v>0.27546618384705163</v>
      </c>
      <c r="H33">
        <v>3.7488444410991598E-2</v>
      </c>
      <c r="I33">
        <v>0</v>
      </c>
      <c r="J33">
        <v>0.75077996190689111</v>
      </c>
      <c r="K33">
        <v>1.135180652079908E-2</v>
      </c>
      <c r="L33">
        <v>32.186127358053668</v>
      </c>
      <c r="M33">
        <v>-28.47649469226161</v>
      </c>
      <c r="N33">
        <v>29.507262927132182</v>
      </c>
    </row>
    <row r="34" spans="1:14" x14ac:dyDescent="0.2">
      <c r="A34">
        <v>220</v>
      </c>
      <c r="B34">
        <v>17.5</v>
      </c>
      <c r="C34">
        <v>230.03</v>
      </c>
      <c r="D34" s="1">
        <v>45911</v>
      </c>
      <c r="E34" s="1">
        <v>45982</v>
      </c>
      <c r="F34">
        <v>0.194521</v>
      </c>
      <c r="G34">
        <v>0.27132077298602408</v>
      </c>
      <c r="H34">
        <v>3.7488444410991598E-2</v>
      </c>
      <c r="I34">
        <v>0</v>
      </c>
      <c r="J34">
        <v>0.68911054264987004</v>
      </c>
      <c r="K34">
        <v>1.283249304635142E-2</v>
      </c>
      <c r="L34">
        <v>35.836825804656598</v>
      </c>
      <c r="M34">
        <v>-30.27934196601915</v>
      </c>
      <c r="N34">
        <v>27.43059242351605</v>
      </c>
    </row>
    <row r="35" spans="1:14" x14ac:dyDescent="0.2">
      <c r="A35">
        <v>225</v>
      </c>
      <c r="B35">
        <v>14.1</v>
      </c>
      <c r="C35">
        <v>230.03</v>
      </c>
      <c r="D35" s="1">
        <v>45911</v>
      </c>
      <c r="E35" s="1">
        <v>45982</v>
      </c>
      <c r="F35">
        <v>0.194521</v>
      </c>
      <c r="G35">
        <v>0.26166076316793802</v>
      </c>
      <c r="H35">
        <v>3.7488444410991598E-2</v>
      </c>
      <c r="I35">
        <v>0</v>
      </c>
      <c r="J35">
        <v>0.62265938934370701</v>
      </c>
      <c r="K35">
        <v>1.431204325706135E-2</v>
      </c>
      <c r="L35">
        <v>38.545678639927416</v>
      </c>
      <c r="M35">
        <v>-30.76583858669774</v>
      </c>
      <c r="N35">
        <v>25.118562736953439</v>
      </c>
    </row>
    <row r="36" spans="1:14" x14ac:dyDescent="0.2">
      <c r="A36">
        <v>230</v>
      </c>
      <c r="B36">
        <v>10.95</v>
      </c>
      <c r="C36">
        <v>230.03</v>
      </c>
      <c r="D36" s="1">
        <v>45911</v>
      </c>
      <c r="E36" s="1">
        <v>45982</v>
      </c>
      <c r="F36">
        <v>0.194521</v>
      </c>
      <c r="G36">
        <v>0.25001537162310189</v>
      </c>
      <c r="H36">
        <v>3.7488444410991598E-2</v>
      </c>
      <c r="I36">
        <v>0</v>
      </c>
      <c r="J36">
        <v>0.54872836961494986</v>
      </c>
      <c r="K36">
        <v>1.561060604306622E-2</v>
      </c>
      <c r="L36">
        <v>40.171858778383147</v>
      </c>
      <c r="M36">
        <v>-30.137632468314909</v>
      </c>
      <c r="N36">
        <v>22.423211150593929</v>
      </c>
    </row>
    <row r="37" spans="1:14" x14ac:dyDescent="0.2">
      <c r="A37">
        <v>235</v>
      </c>
      <c r="B37">
        <v>8.5</v>
      </c>
      <c r="C37">
        <v>230.03</v>
      </c>
      <c r="D37" s="1">
        <v>45911</v>
      </c>
      <c r="E37" s="1">
        <v>45982</v>
      </c>
      <c r="F37">
        <v>0.194521</v>
      </c>
      <c r="G37">
        <v>0.24661214861462991</v>
      </c>
      <c r="H37">
        <v>3.7488444410991598E-2</v>
      </c>
      <c r="I37">
        <v>0</v>
      </c>
      <c r="J37">
        <v>0.47006782465665509</v>
      </c>
      <c r="K37">
        <v>1.590022172699343E-2</v>
      </c>
      <c r="L37">
        <v>40.360180512309292</v>
      </c>
      <c r="M37">
        <v>-29.319117547202179</v>
      </c>
      <c r="N37">
        <v>19.380069205508171</v>
      </c>
    </row>
    <row r="38" spans="1:14" x14ac:dyDescent="0.2">
      <c r="A38">
        <v>240</v>
      </c>
      <c r="B38">
        <v>6.3</v>
      </c>
      <c r="C38">
        <v>230.03</v>
      </c>
      <c r="D38" s="1">
        <v>45911</v>
      </c>
      <c r="E38" s="1">
        <v>45982</v>
      </c>
      <c r="F38">
        <v>0.194521</v>
      </c>
      <c r="G38">
        <v>0.23977551615583381</v>
      </c>
      <c r="H38">
        <v>3.7488444410991598E-2</v>
      </c>
      <c r="I38">
        <v>0</v>
      </c>
      <c r="J38">
        <v>0.3899758485397623</v>
      </c>
      <c r="K38">
        <v>1.57720531144253E-2</v>
      </c>
      <c r="L38">
        <v>38.924990737587279</v>
      </c>
      <c r="M38">
        <v>-27.117132033827531</v>
      </c>
      <c r="N38">
        <v>16.224246622535649</v>
      </c>
    </row>
    <row r="39" spans="1:14" x14ac:dyDescent="0.2">
      <c r="A39">
        <v>250</v>
      </c>
      <c r="B39">
        <v>3.25</v>
      </c>
      <c r="C39">
        <v>230.03</v>
      </c>
      <c r="D39" s="1">
        <v>45911</v>
      </c>
      <c r="E39" s="1">
        <v>45982</v>
      </c>
      <c r="F39">
        <v>0.194521</v>
      </c>
      <c r="G39">
        <v>0.2320945958161027</v>
      </c>
      <c r="H39">
        <v>3.7488444410991598E-2</v>
      </c>
      <c r="I39">
        <v>0</v>
      </c>
      <c r="J39">
        <v>0.24482579973386409</v>
      </c>
      <c r="K39">
        <v>1.334549600275798E-2</v>
      </c>
      <c r="L39">
        <v>31.881239675148311</v>
      </c>
      <c r="M39">
        <v>-21.009113093049109</v>
      </c>
      <c r="N39">
        <v>10.322700122484131</v>
      </c>
    </row>
    <row r="40" spans="1:14" x14ac:dyDescent="0.2">
      <c r="A40">
        <v>260</v>
      </c>
      <c r="B40">
        <v>1.57</v>
      </c>
      <c r="C40">
        <v>230.03</v>
      </c>
      <c r="D40" s="1">
        <v>45911</v>
      </c>
      <c r="E40" s="1">
        <v>45982</v>
      </c>
      <c r="F40">
        <v>0.194521</v>
      </c>
      <c r="G40">
        <v>0.22958756358201049</v>
      </c>
      <c r="H40">
        <v>3.7488444410991598E-2</v>
      </c>
      <c r="I40">
        <v>0</v>
      </c>
      <c r="J40">
        <v>0.13855126677934959</v>
      </c>
      <c r="K40">
        <v>9.4883288246766281E-3</v>
      </c>
      <c r="L40">
        <v>22.42195820665556</v>
      </c>
      <c r="M40">
        <v>-14.367932859738691</v>
      </c>
      <c r="N40">
        <v>5.8941706859030187</v>
      </c>
    </row>
    <row r="41" spans="1:14" x14ac:dyDescent="0.2">
      <c r="A41">
        <v>265</v>
      </c>
      <c r="B41">
        <v>1.0900000000000001</v>
      </c>
      <c r="C41">
        <v>230.03</v>
      </c>
      <c r="D41" s="1">
        <v>45911</v>
      </c>
      <c r="E41" s="1">
        <v>45982</v>
      </c>
      <c r="F41">
        <v>0.194521</v>
      </c>
      <c r="G41">
        <v>0.23054288109131341</v>
      </c>
      <c r="H41">
        <v>3.7488444410991598E-2</v>
      </c>
      <c r="I41">
        <v>0</v>
      </c>
      <c r="J41">
        <v>0.1021737925112234</v>
      </c>
      <c r="K41">
        <v>7.6218551396857329E-3</v>
      </c>
      <c r="L41">
        <v>18.086222069847238</v>
      </c>
      <c r="M41">
        <v>-11.55796666867279</v>
      </c>
      <c r="N41">
        <v>4.3598064658302533</v>
      </c>
    </row>
    <row r="42" spans="1:14" x14ac:dyDescent="0.2">
      <c r="A42">
        <v>210</v>
      </c>
      <c r="B42">
        <v>31.4</v>
      </c>
      <c r="C42">
        <v>237.88</v>
      </c>
      <c r="D42" s="1">
        <v>45918</v>
      </c>
      <c r="E42" s="1">
        <v>45982</v>
      </c>
      <c r="F42">
        <v>0.175342</v>
      </c>
      <c r="G42">
        <v>0.30032097137160618</v>
      </c>
      <c r="H42">
        <v>3.7488444410991598E-2</v>
      </c>
      <c r="I42">
        <v>0</v>
      </c>
      <c r="J42">
        <v>0.86572841701217684</v>
      </c>
      <c r="K42">
        <v>7.2309875556833894E-3</v>
      </c>
      <c r="L42">
        <v>21.546914566875731</v>
      </c>
      <c r="M42">
        <v>-24.995695764864031</v>
      </c>
      <c r="N42">
        <v>30.60410076855138</v>
      </c>
    </row>
    <row r="43" spans="1:14" x14ac:dyDescent="0.2">
      <c r="A43">
        <v>215</v>
      </c>
      <c r="B43">
        <v>27</v>
      </c>
      <c r="C43">
        <v>237.88</v>
      </c>
      <c r="D43" s="1">
        <v>45918</v>
      </c>
      <c r="E43" s="1">
        <v>45982</v>
      </c>
      <c r="F43">
        <v>0.175342</v>
      </c>
      <c r="G43">
        <v>0.28599397776668212</v>
      </c>
      <c r="H43">
        <v>3.7488444410991598E-2</v>
      </c>
      <c r="I43">
        <v>0</v>
      </c>
      <c r="J43">
        <v>0.83127480985350821</v>
      </c>
      <c r="K43">
        <v>8.8400855763972712E-3</v>
      </c>
      <c r="L43">
        <v>25.085061667255591</v>
      </c>
      <c r="M43">
        <v>-26.858581110082309</v>
      </c>
      <c r="N43">
        <v>29.938533387224439</v>
      </c>
    </row>
    <row r="44" spans="1:14" x14ac:dyDescent="0.2">
      <c r="A44">
        <v>220</v>
      </c>
      <c r="B44">
        <v>22.6</v>
      </c>
      <c r="C44">
        <v>237.88</v>
      </c>
      <c r="D44" s="1">
        <v>45918</v>
      </c>
      <c r="E44" s="1">
        <v>45982</v>
      </c>
      <c r="F44">
        <v>0.175342</v>
      </c>
      <c r="G44">
        <v>0.26636864236131408</v>
      </c>
      <c r="H44">
        <v>3.7488444410991598E-2</v>
      </c>
      <c r="I44">
        <v>0</v>
      </c>
      <c r="J44">
        <v>0.79253673074221109</v>
      </c>
      <c r="K44">
        <v>1.078453124423101E-2</v>
      </c>
      <c r="L44">
        <v>28.502712076857811</v>
      </c>
      <c r="M44">
        <v>-27.87017871862189</v>
      </c>
      <c r="N44">
        <v>29.094259157810889</v>
      </c>
    </row>
    <row r="45" spans="1:14" x14ac:dyDescent="0.2">
      <c r="A45">
        <v>225</v>
      </c>
      <c r="B45">
        <v>18.93</v>
      </c>
      <c r="C45">
        <v>237.88</v>
      </c>
      <c r="D45" s="1">
        <v>45918</v>
      </c>
      <c r="E45" s="1">
        <v>45982</v>
      </c>
      <c r="F45">
        <v>0.175342</v>
      </c>
      <c r="G45">
        <v>0.26447005499615628</v>
      </c>
      <c r="H45">
        <v>3.7488444410991598E-2</v>
      </c>
      <c r="I45">
        <v>0</v>
      </c>
      <c r="J45">
        <v>0.731508899871539</v>
      </c>
      <c r="K45">
        <v>1.251596827596353E-2</v>
      </c>
      <c r="L45">
        <v>32.842996558169311</v>
      </c>
      <c r="M45">
        <v>-30.58246468699571</v>
      </c>
      <c r="N45">
        <v>27.192271810017029</v>
      </c>
    </row>
    <row r="46" spans="1:14" x14ac:dyDescent="0.2">
      <c r="A46">
        <v>230</v>
      </c>
      <c r="B46">
        <v>15.4</v>
      </c>
      <c r="C46">
        <v>237.88</v>
      </c>
      <c r="D46" s="1">
        <v>45918</v>
      </c>
      <c r="E46" s="1">
        <v>45982</v>
      </c>
      <c r="F46">
        <v>0.175342</v>
      </c>
      <c r="G46">
        <v>0.25723953716359249</v>
      </c>
      <c r="H46">
        <v>3.7488444410991598E-2</v>
      </c>
      <c r="I46">
        <v>0</v>
      </c>
      <c r="J46">
        <v>0.66553660262327274</v>
      </c>
      <c r="K46">
        <v>1.4209012084487469E-2</v>
      </c>
      <c r="L46">
        <v>36.266314107224837</v>
      </c>
      <c r="M46">
        <v>-31.96043528091344</v>
      </c>
      <c r="N46">
        <v>25.05950113428792</v>
      </c>
    </row>
    <row r="47" spans="1:14" x14ac:dyDescent="0.2">
      <c r="A47">
        <v>235</v>
      </c>
      <c r="B47">
        <v>12.25</v>
      </c>
      <c r="C47">
        <v>237.88</v>
      </c>
      <c r="D47" s="1">
        <v>45918</v>
      </c>
      <c r="E47" s="1">
        <v>45982</v>
      </c>
      <c r="F47">
        <v>0.175342</v>
      </c>
      <c r="G47">
        <v>0.25116410226124669</v>
      </c>
      <c r="H47">
        <v>3.7488444410991598E-2</v>
      </c>
      <c r="I47">
        <v>0</v>
      </c>
      <c r="J47">
        <v>0.59130551615544691</v>
      </c>
      <c r="K47">
        <v>1.552651444258543E-2</v>
      </c>
      <c r="L47">
        <v>38.693084783568182</v>
      </c>
      <c r="M47">
        <v>-32.526335107817268</v>
      </c>
      <c r="N47">
        <v>22.515623468649711</v>
      </c>
    </row>
    <row r="48" spans="1:14" x14ac:dyDescent="0.2">
      <c r="A48">
        <v>240</v>
      </c>
      <c r="B48">
        <v>9.5</v>
      </c>
      <c r="C48">
        <v>237.88</v>
      </c>
      <c r="D48" s="1">
        <v>45918</v>
      </c>
      <c r="E48" s="1">
        <v>45982</v>
      </c>
      <c r="F48">
        <v>0.175342</v>
      </c>
      <c r="G48">
        <v>0.24571728337564369</v>
      </c>
      <c r="H48">
        <v>3.7488444410991598E-2</v>
      </c>
      <c r="I48">
        <v>0</v>
      </c>
      <c r="J48">
        <v>0.51160717048714266</v>
      </c>
      <c r="K48">
        <v>1.6292569544832339E-2</v>
      </c>
      <c r="L48">
        <v>39.721633886213468</v>
      </c>
      <c r="M48">
        <v>-32.0384017235884</v>
      </c>
      <c r="N48">
        <v>19.673567727980991</v>
      </c>
    </row>
    <row r="49" spans="1:14" x14ac:dyDescent="0.2">
      <c r="A49">
        <v>250</v>
      </c>
      <c r="B49">
        <v>5.2</v>
      </c>
      <c r="C49">
        <v>237.88</v>
      </c>
      <c r="D49" s="1">
        <v>45918</v>
      </c>
      <c r="E49" s="1">
        <v>45982</v>
      </c>
      <c r="F49">
        <v>0.175342</v>
      </c>
      <c r="G49">
        <v>0.23499646536520949</v>
      </c>
      <c r="H49">
        <v>3.7488444410991598E-2</v>
      </c>
      <c r="I49">
        <v>0</v>
      </c>
      <c r="J49">
        <v>0.34863289676450648</v>
      </c>
      <c r="K49">
        <v>1.580107105272208E-2</v>
      </c>
      <c r="L49">
        <v>36.842549149592777</v>
      </c>
      <c r="M49">
        <v>-27.60260115810863</v>
      </c>
      <c r="N49">
        <v>13.62982347478027</v>
      </c>
    </row>
    <row r="50" spans="1:14" x14ac:dyDescent="0.2">
      <c r="A50">
        <v>260</v>
      </c>
      <c r="B50">
        <v>2.61</v>
      </c>
      <c r="C50">
        <v>237.88</v>
      </c>
      <c r="D50" s="1">
        <v>45918</v>
      </c>
      <c r="E50" s="1">
        <v>45982</v>
      </c>
      <c r="F50">
        <v>0.175342</v>
      </c>
      <c r="G50">
        <v>0.23034192791660971</v>
      </c>
      <c r="H50">
        <v>3.7488444410991598E-2</v>
      </c>
      <c r="I50">
        <v>0</v>
      </c>
      <c r="J50">
        <v>0.2102732040283985</v>
      </c>
      <c r="K50">
        <v>1.2570532663883671E-2</v>
      </c>
      <c r="L50">
        <v>28.72952819505862</v>
      </c>
      <c r="M50">
        <v>-20.647911917666669</v>
      </c>
      <c r="N50">
        <v>8.3129273585952692</v>
      </c>
    </row>
    <row r="51" spans="1:14" x14ac:dyDescent="0.2">
      <c r="A51">
        <v>265</v>
      </c>
      <c r="B51">
        <v>1.81</v>
      </c>
      <c r="C51">
        <v>237.88</v>
      </c>
      <c r="D51" s="1">
        <v>45918</v>
      </c>
      <c r="E51" s="1">
        <v>45982</v>
      </c>
      <c r="F51">
        <v>0.175342</v>
      </c>
      <c r="G51">
        <v>0.2298773740712764</v>
      </c>
      <c r="H51">
        <v>3.7488444410991598E-2</v>
      </c>
      <c r="I51">
        <v>0</v>
      </c>
      <c r="J51">
        <v>0.15740462763283919</v>
      </c>
      <c r="K51">
        <v>1.051258149832697E-2</v>
      </c>
      <c r="L51">
        <v>23.97769428889897</v>
      </c>
      <c r="M51">
        <v>-17.053494143760378</v>
      </c>
      <c r="N51">
        <v>6.2480338709009979</v>
      </c>
    </row>
    <row r="52" spans="1:14" x14ac:dyDescent="0.2">
      <c r="A52">
        <v>210</v>
      </c>
      <c r="B52">
        <v>48.17</v>
      </c>
      <c r="C52">
        <v>256.87</v>
      </c>
      <c r="D52" s="1">
        <v>45925</v>
      </c>
      <c r="E52" s="1">
        <v>45982</v>
      </c>
      <c r="F52">
        <v>0.156164</v>
      </c>
      <c r="G52">
        <v>0.22724172929191611</v>
      </c>
      <c r="H52">
        <v>3.7488444410991598E-2</v>
      </c>
      <c r="I52">
        <v>0</v>
      </c>
      <c r="J52">
        <v>0.99070220429080968</v>
      </c>
      <c r="K52">
        <v>1.084192897148187E-3</v>
      </c>
      <c r="L52">
        <v>2.5386471348255428</v>
      </c>
      <c r="M52">
        <v>-9.5813573939296148</v>
      </c>
      <c r="N52">
        <v>32.218456448452407</v>
      </c>
    </row>
    <row r="53" spans="1:14" x14ac:dyDescent="0.2">
      <c r="A53">
        <v>215</v>
      </c>
      <c r="B53">
        <v>40.950000000000003</v>
      </c>
      <c r="C53">
        <v>256.87</v>
      </c>
      <c r="D53" s="1">
        <v>45925</v>
      </c>
      <c r="E53" s="1">
        <v>45982</v>
      </c>
      <c r="F53">
        <v>0.156164</v>
      </c>
      <c r="G53">
        <v>6.4217614000000006E-2</v>
      </c>
      <c r="H53">
        <v>3.7488444410991598E-2</v>
      </c>
      <c r="I53">
        <v>0</v>
      </c>
      <c r="J53">
        <v>0.99999999999979894</v>
      </c>
      <c r="K53">
        <v>2.2784571961541069E-13</v>
      </c>
      <c r="L53">
        <v>1.5076576493460999E-10</v>
      </c>
      <c r="M53">
        <v>-8.0129672859420946</v>
      </c>
      <c r="N53">
        <v>33.379273077282683</v>
      </c>
    </row>
    <row r="54" spans="1:14" x14ac:dyDescent="0.2">
      <c r="A54">
        <v>220</v>
      </c>
      <c r="B54">
        <v>39.5</v>
      </c>
      <c r="C54">
        <v>256.87</v>
      </c>
      <c r="D54" s="1">
        <v>45925</v>
      </c>
      <c r="E54" s="1">
        <v>45982</v>
      </c>
      <c r="F54">
        <v>0.156164</v>
      </c>
      <c r="G54">
        <v>0.31379640154850241</v>
      </c>
      <c r="H54">
        <v>3.7488444410991598E-2</v>
      </c>
      <c r="I54">
        <v>0</v>
      </c>
      <c r="J54">
        <v>0.91287944425297995</v>
      </c>
      <c r="K54">
        <v>4.9761005123728774E-3</v>
      </c>
      <c r="L54">
        <v>16.089583393123281</v>
      </c>
      <c r="M54">
        <v>-23.47515023936548</v>
      </c>
      <c r="N54">
        <v>30.450628035588881</v>
      </c>
    </row>
    <row r="55" spans="1:14" x14ac:dyDescent="0.2">
      <c r="A55">
        <v>225</v>
      </c>
      <c r="B55">
        <v>34.450000000000003</v>
      </c>
      <c r="C55">
        <v>256.87</v>
      </c>
      <c r="D55" s="1">
        <v>45925</v>
      </c>
      <c r="E55" s="1">
        <v>45982</v>
      </c>
      <c r="F55">
        <v>0.156164</v>
      </c>
      <c r="G55">
        <v>0.27569945193998557</v>
      </c>
      <c r="H55">
        <v>3.7488444410991598E-2</v>
      </c>
      <c r="I55">
        <v>0</v>
      </c>
      <c r="J55">
        <v>0.90726307802093387</v>
      </c>
      <c r="K55">
        <v>5.9328839267145748E-3</v>
      </c>
      <c r="L55">
        <v>16.85425073361645</v>
      </c>
      <c r="M55">
        <v>-22.3228083426404</v>
      </c>
      <c r="N55">
        <v>31.013962174984869</v>
      </c>
    </row>
    <row r="56" spans="1:14" x14ac:dyDescent="0.2">
      <c r="A56">
        <v>230</v>
      </c>
      <c r="B56">
        <v>30.5</v>
      </c>
      <c r="C56">
        <v>256.87</v>
      </c>
      <c r="D56" s="1">
        <v>45925</v>
      </c>
      <c r="E56" s="1">
        <v>45982</v>
      </c>
      <c r="F56">
        <v>0.156164</v>
      </c>
      <c r="G56">
        <v>0.29184072951647699</v>
      </c>
      <c r="H56">
        <v>3.7488444410991598E-2</v>
      </c>
      <c r="I56">
        <v>0</v>
      </c>
      <c r="J56">
        <v>0.85689668189640966</v>
      </c>
      <c r="K56">
        <v>7.6257294828517459E-3</v>
      </c>
      <c r="L56">
        <v>22.931633553609821</v>
      </c>
      <c r="M56">
        <v>-28.535647915950911</v>
      </c>
      <c r="N56">
        <v>29.61042011591401</v>
      </c>
    </row>
    <row r="57" spans="1:14" x14ac:dyDescent="0.2">
      <c r="A57">
        <v>235</v>
      </c>
      <c r="B57">
        <v>26.28</v>
      </c>
      <c r="C57">
        <v>256.87</v>
      </c>
      <c r="D57" s="1">
        <v>45925</v>
      </c>
      <c r="E57" s="1">
        <v>45982</v>
      </c>
      <c r="F57">
        <v>0.156164</v>
      </c>
      <c r="G57">
        <v>0.28365127680284219</v>
      </c>
      <c r="H57">
        <v>3.7488444410991598E-2</v>
      </c>
      <c r="I57">
        <v>0</v>
      </c>
      <c r="J57">
        <v>0.81650510782147578</v>
      </c>
      <c r="K57">
        <v>9.2235930930729716E-3</v>
      </c>
      <c r="L57">
        <v>26.958304483280131</v>
      </c>
      <c r="M57">
        <v>-31.360567032560599</v>
      </c>
      <c r="N57">
        <v>28.64917078812682</v>
      </c>
    </row>
    <row r="58" spans="1:14" x14ac:dyDescent="0.2">
      <c r="A58">
        <v>240</v>
      </c>
      <c r="B58">
        <v>22.15</v>
      </c>
      <c r="C58">
        <v>256.87</v>
      </c>
      <c r="D58" s="1">
        <v>45925</v>
      </c>
      <c r="E58" s="1">
        <v>45982</v>
      </c>
      <c r="F58">
        <v>0.156164</v>
      </c>
      <c r="G58">
        <v>0.27174559011955851</v>
      </c>
      <c r="H58">
        <v>3.7488444410991598E-2</v>
      </c>
      <c r="I58">
        <v>0</v>
      </c>
      <c r="J58">
        <v>0.77058993119599428</v>
      </c>
      <c r="K58">
        <v>1.0992070851152421E-2</v>
      </c>
      <c r="L58">
        <v>30.7786608447358</v>
      </c>
      <c r="M58">
        <v>-33.369575993745563</v>
      </c>
      <c r="N58">
        <v>27.452293753066389</v>
      </c>
    </row>
    <row r="59" spans="1:14" x14ac:dyDescent="0.2">
      <c r="A59">
        <v>250</v>
      </c>
      <c r="B59">
        <v>15.2</v>
      </c>
      <c r="C59">
        <v>256.87</v>
      </c>
      <c r="D59" s="1">
        <v>45925</v>
      </c>
      <c r="E59" s="1">
        <v>45982</v>
      </c>
      <c r="F59">
        <v>0.156164</v>
      </c>
      <c r="G59">
        <v>0.2640670992345997</v>
      </c>
      <c r="H59">
        <v>3.7488444410991598E-2</v>
      </c>
      <c r="I59">
        <v>0</v>
      </c>
      <c r="J59">
        <v>0.64358635427004995</v>
      </c>
      <c r="K59">
        <v>1.390833449515572E-2</v>
      </c>
      <c r="L59">
        <v>37.844007304558701</v>
      </c>
      <c r="M59">
        <v>-37.62404524023556</v>
      </c>
      <c r="N59">
        <v>23.443031540528761</v>
      </c>
    </row>
    <row r="60" spans="1:14" x14ac:dyDescent="0.2">
      <c r="A60">
        <v>260</v>
      </c>
      <c r="B60">
        <v>9.5500000000000007</v>
      </c>
      <c r="C60">
        <v>256.87</v>
      </c>
      <c r="D60" s="1">
        <v>45925</v>
      </c>
      <c r="E60" s="1">
        <v>45982</v>
      </c>
      <c r="F60">
        <v>0.156164</v>
      </c>
      <c r="G60">
        <v>0.25454734726256872</v>
      </c>
      <c r="H60">
        <v>3.7488444410991598E-2</v>
      </c>
      <c r="I60">
        <v>0</v>
      </c>
      <c r="J60">
        <v>0.49524928843756449</v>
      </c>
      <c r="K60">
        <v>1.543856206228209E-2</v>
      </c>
      <c r="L60">
        <v>40.493295184859427</v>
      </c>
      <c r="M60">
        <v>-37.413105097205147</v>
      </c>
      <c r="N60">
        <v>18.3749878025058</v>
      </c>
    </row>
    <row r="61" spans="1:14" x14ac:dyDescent="0.2">
      <c r="A61">
        <v>265</v>
      </c>
      <c r="B61">
        <v>7.35</v>
      </c>
      <c r="C61">
        <v>256.87</v>
      </c>
      <c r="D61" s="1">
        <v>45925</v>
      </c>
      <c r="E61" s="1">
        <v>45982</v>
      </c>
      <c r="F61">
        <v>0.156164</v>
      </c>
      <c r="G61">
        <v>0.25145907909547421</v>
      </c>
      <c r="H61">
        <v>3.7488444410991598E-2</v>
      </c>
      <c r="I61">
        <v>0</v>
      </c>
      <c r="J61">
        <v>0.41879731316232338</v>
      </c>
      <c r="K61">
        <v>1.530438379662173E-2</v>
      </c>
      <c r="L61">
        <v>39.654352686268993</v>
      </c>
      <c r="M61">
        <v>-35.683536902341856</v>
      </c>
      <c r="N61">
        <v>15.65176581018935</v>
      </c>
    </row>
    <row r="62" spans="1:14" x14ac:dyDescent="0.2">
      <c r="A62">
        <v>210</v>
      </c>
      <c r="B62">
        <v>45.15</v>
      </c>
      <c r="C62">
        <v>254.63</v>
      </c>
      <c r="D62" s="1">
        <v>45930</v>
      </c>
      <c r="E62" s="1">
        <v>45982</v>
      </c>
      <c r="F62">
        <v>0.14246600000000001</v>
      </c>
      <c r="G62">
        <v>7.5745163000000004E-2</v>
      </c>
      <c r="H62">
        <v>3.7488444410991598E-2</v>
      </c>
      <c r="I62">
        <v>0</v>
      </c>
      <c r="J62">
        <v>0.99999999999805911</v>
      </c>
      <c r="K62">
        <v>1.8876481429622121E-12</v>
      </c>
      <c r="L62">
        <v>1.3207065161496509E-9</v>
      </c>
      <c r="M62">
        <v>-7.8306393417020059</v>
      </c>
      <c r="N62">
        <v>29.7584997706068</v>
      </c>
    </row>
    <row r="63" spans="1:14" x14ac:dyDescent="0.2">
      <c r="A63">
        <v>215</v>
      </c>
      <c r="B63">
        <v>41.22</v>
      </c>
      <c r="C63">
        <v>254.63</v>
      </c>
      <c r="D63" s="1">
        <v>45930</v>
      </c>
      <c r="E63" s="1">
        <v>45982</v>
      </c>
      <c r="F63">
        <v>0.14246600000000001</v>
      </c>
      <c r="G63">
        <v>0.27283159760140319</v>
      </c>
      <c r="H63">
        <v>3.7488444410991598E-2</v>
      </c>
      <c r="I63">
        <v>0</v>
      </c>
      <c r="J63">
        <v>0.95960691392982422</v>
      </c>
      <c r="K63">
        <v>3.3125712190325762E-3</v>
      </c>
      <c r="L63">
        <v>8.348150333390965</v>
      </c>
      <c r="M63">
        <v>-15.608453058269429</v>
      </c>
      <c r="N63">
        <v>28.938364720288639</v>
      </c>
    </row>
    <row r="64" spans="1:14" x14ac:dyDescent="0.2">
      <c r="A64">
        <v>220</v>
      </c>
      <c r="B64">
        <v>37.32</v>
      </c>
      <c r="C64">
        <v>254.63</v>
      </c>
      <c r="D64" s="1">
        <v>45930</v>
      </c>
      <c r="E64" s="1">
        <v>45982</v>
      </c>
      <c r="F64">
        <v>0.14246600000000001</v>
      </c>
      <c r="G64">
        <v>0.32557174274567302</v>
      </c>
      <c r="H64">
        <v>3.7488444410991598E-2</v>
      </c>
      <c r="I64">
        <v>0</v>
      </c>
      <c r="J64">
        <v>0.90225274484194573</v>
      </c>
      <c r="K64">
        <v>5.5159562288892763E-3</v>
      </c>
      <c r="L64">
        <v>16.58814742404088</v>
      </c>
      <c r="M64">
        <v>-26.167658159001739</v>
      </c>
      <c r="N64">
        <v>27.41339552876876</v>
      </c>
    </row>
    <row r="65" spans="1:14" x14ac:dyDescent="0.2">
      <c r="A65">
        <v>225</v>
      </c>
      <c r="B65">
        <v>33</v>
      </c>
      <c r="C65">
        <v>254.63</v>
      </c>
      <c r="D65" s="1">
        <v>45930</v>
      </c>
      <c r="E65" s="1">
        <v>45982</v>
      </c>
      <c r="F65">
        <v>0.14246600000000001</v>
      </c>
      <c r="G65">
        <v>0.32338111067812703</v>
      </c>
      <c r="H65">
        <v>3.7488444410991598E-2</v>
      </c>
      <c r="I65">
        <v>0</v>
      </c>
      <c r="J65">
        <v>0.86828480625895121</v>
      </c>
      <c r="K65">
        <v>6.868427738608799E-3</v>
      </c>
      <c r="L65">
        <v>20.516456452333522</v>
      </c>
      <c r="M65">
        <v>-30.336227424122381</v>
      </c>
      <c r="N65">
        <v>26.796623722881481</v>
      </c>
    </row>
    <row r="66" spans="1:14" x14ac:dyDescent="0.2">
      <c r="A66">
        <v>230</v>
      </c>
      <c r="B66">
        <v>28.5</v>
      </c>
      <c r="C66">
        <v>254.63</v>
      </c>
      <c r="D66" s="1">
        <v>45930</v>
      </c>
      <c r="E66" s="1">
        <v>45982</v>
      </c>
      <c r="F66">
        <v>0.14246600000000001</v>
      </c>
      <c r="G66">
        <v>0.30532491087047342</v>
      </c>
      <c r="H66">
        <v>3.7488444410991598E-2</v>
      </c>
      <c r="I66">
        <v>0</v>
      </c>
      <c r="J66">
        <v>0.83811039931493492</v>
      </c>
      <c r="K66">
        <v>8.3553357283015443E-3</v>
      </c>
      <c r="L66">
        <v>23.56440699134351</v>
      </c>
      <c r="M66">
        <v>-32.182853885415959</v>
      </c>
      <c r="N66">
        <v>26.34311038994084</v>
      </c>
    </row>
    <row r="67" spans="1:14" x14ac:dyDescent="0.2">
      <c r="A67">
        <v>235</v>
      </c>
      <c r="B67">
        <v>23.4</v>
      </c>
      <c r="C67">
        <v>254.63</v>
      </c>
      <c r="D67" s="1">
        <v>45930</v>
      </c>
      <c r="E67" s="1">
        <v>45982</v>
      </c>
      <c r="F67">
        <v>0.14246600000000001</v>
      </c>
      <c r="G67">
        <v>0.25957384237750791</v>
      </c>
      <c r="H67">
        <v>3.7488444410991598E-2</v>
      </c>
      <c r="I67">
        <v>0</v>
      </c>
      <c r="J67">
        <v>0.82182404863564051</v>
      </c>
      <c r="K67">
        <v>1.045092878993713E-2</v>
      </c>
      <c r="L67">
        <v>25.057987333317431</v>
      </c>
      <c r="M67">
        <v>-29.79553789166334</v>
      </c>
      <c r="N67">
        <v>26.478881417779011</v>
      </c>
    </row>
    <row r="68" spans="1:14" x14ac:dyDescent="0.2">
      <c r="A68">
        <v>240</v>
      </c>
      <c r="B68">
        <v>20.010000000000002</v>
      </c>
      <c r="C68">
        <v>254.63</v>
      </c>
      <c r="D68" s="1">
        <v>45930</v>
      </c>
      <c r="E68" s="1">
        <v>45982</v>
      </c>
      <c r="F68">
        <v>0.14246600000000001</v>
      </c>
      <c r="G68">
        <v>0.27294510848697501</v>
      </c>
      <c r="H68">
        <v>3.7488444410991598E-2</v>
      </c>
      <c r="I68">
        <v>0</v>
      </c>
      <c r="J68">
        <v>0.75102532541808986</v>
      </c>
      <c r="K68">
        <v>1.208740102916357E-2</v>
      </c>
      <c r="L68">
        <v>30.474642366361291</v>
      </c>
      <c r="M68">
        <v>-35.611500918327224</v>
      </c>
      <c r="N68">
        <v>24.393538350397879</v>
      </c>
    </row>
    <row r="69" spans="1:14" x14ac:dyDescent="0.2">
      <c r="A69">
        <v>250</v>
      </c>
      <c r="B69">
        <v>13.1</v>
      </c>
      <c r="C69">
        <v>254.63</v>
      </c>
      <c r="D69" s="1">
        <v>45930</v>
      </c>
      <c r="E69" s="1">
        <v>45982</v>
      </c>
      <c r="F69">
        <v>0.14246600000000001</v>
      </c>
      <c r="G69">
        <v>0.25960680747925158</v>
      </c>
      <c r="H69">
        <v>3.7488444410991598E-2</v>
      </c>
      <c r="I69">
        <v>0</v>
      </c>
      <c r="J69">
        <v>0.61438766273248879</v>
      </c>
      <c r="K69">
        <v>1.5327424732705991E-2</v>
      </c>
      <c r="L69">
        <v>36.754933348748359</v>
      </c>
      <c r="M69">
        <v>-38.86174958440175</v>
      </c>
      <c r="N69">
        <v>20.42129449298508</v>
      </c>
    </row>
    <row r="70" spans="1:14" x14ac:dyDescent="0.2">
      <c r="A70">
        <v>260</v>
      </c>
      <c r="B70">
        <v>7.74</v>
      </c>
      <c r="C70">
        <v>254.63</v>
      </c>
      <c r="D70" s="1">
        <v>45930</v>
      </c>
      <c r="E70" s="1">
        <v>45982</v>
      </c>
      <c r="F70">
        <v>0.14246600000000001</v>
      </c>
      <c r="G70">
        <v>0.24856147254681329</v>
      </c>
      <c r="H70">
        <v>3.7488444410991598E-2</v>
      </c>
      <c r="I70">
        <v>0</v>
      </c>
      <c r="J70">
        <v>0.45279014373857668</v>
      </c>
      <c r="K70">
        <v>1.6582725206729518E-2</v>
      </c>
      <c r="L70">
        <v>38.07326206297968</v>
      </c>
      <c r="M70">
        <v>-37.245379878356502</v>
      </c>
      <c r="N70">
        <v>15.3227816533257</v>
      </c>
    </row>
    <row r="71" spans="1:14" x14ac:dyDescent="0.2">
      <c r="A71">
        <v>265</v>
      </c>
      <c r="B71">
        <v>5.76</v>
      </c>
      <c r="C71">
        <v>254.63</v>
      </c>
      <c r="D71" s="1">
        <v>45930</v>
      </c>
      <c r="E71" s="1">
        <v>45982</v>
      </c>
      <c r="F71">
        <v>0.14246600000000001</v>
      </c>
      <c r="G71">
        <v>0.24565528536272971</v>
      </c>
      <c r="H71">
        <v>3.7488444410991598E-2</v>
      </c>
      <c r="I71">
        <v>0</v>
      </c>
      <c r="J71">
        <v>0.37200198097229359</v>
      </c>
      <c r="K71">
        <v>1.6019999049187428E-2</v>
      </c>
      <c r="L71">
        <v>36.351218198720538</v>
      </c>
      <c r="M71">
        <v>-34.675430357806754</v>
      </c>
      <c r="N71">
        <v>12.6741834417438</v>
      </c>
    </row>
    <row r="72" spans="1:14" x14ac:dyDescent="0.2">
      <c r="A72">
        <v>210</v>
      </c>
      <c r="B72">
        <v>47.29</v>
      </c>
      <c r="C72">
        <v>257.13</v>
      </c>
      <c r="D72" s="1">
        <v>45932</v>
      </c>
      <c r="E72" s="1">
        <v>45982</v>
      </c>
      <c r="F72">
        <v>0.136986</v>
      </c>
      <c r="G72">
        <v>6.8979994000000003E-2</v>
      </c>
      <c r="H72">
        <v>3.7488444410991598E-2</v>
      </c>
      <c r="I72">
        <v>0</v>
      </c>
      <c r="J72">
        <v>0.99999999999999978</v>
      </c>
      <c r="K72">
        <v>2.3960106809869819E-16</v>
      </c>
      <c r="L72">
        <v>1.496902749372094E-13</v>
      </c>
      <c r="M72">
        <v>-7.8322482071362387</v>
      </c>
      <c r="N72">
        <v>28.619708546460341</v>
      </c>
    </row>
    <row r="73" spans="1:14" x14ac:dyDescent="0.2">
      <c r="A73">
        <v>215</v>
      </c>
      <c r="B73">
        <v>42.3</v>
      </c>
      <c r="C73">
        <v>257.13</v>
      </c>
      <c r="D73" s="1">
        <v>45932</v>
      </c>
      <c r="E73" s="1">
        <v>45982</v>
      </c>
      <c r="F73">
        <v>0.136986</v>
      </c>
      <c r="G73">
        <v>6.8434663000000007E-2</v>
      </c>
      <c r="H73">
        <v>3.7488444410991598E-2</v>
      </c>
      <c r="I73">
        <v>0</v>
      </c>
      <c r="J73">
        <v>0.99999999999983336</v>
      </c>
      <c r="K73">
        <v>1.896198591343326E-13</v>
      </c>
      <c r="L73">
        <v>1.1752807872550631E-10</v>
      </c>
      <c r="M73">
        <v>-8.0187303073338594</v>
      </c>
      <c r="N73">
        <v>29.301130178513031</v>
      </c>
    </row>
    <row r="74" spans="1:14" x14ac:dyDescent="0.2">
      <c r="A74">
        <v>220</v>
      </c>
      <c r="B74">
        <v>37.65</v>
      </c>
      <c r="C74">
        <v>257.13</v>
      </c>
      <c r="D74" s="1">
        <v>45932</v>
      </c>
      <c r="E74" s="1">
        <v>45982</v>
      </c>
      <c r="F74">
        <v>0.136986</v>
      </c>
      <c r="G74">
        <v>2.3046166E-2</v>
      </c>
      <c r="H74">
        <v>3.7488444410991598E-2</v>
      </c>
      <c r="I74">
        <v>0</v>
      </c>
      <c r="J74">
        <v>1</v>
      </c>
      <c r="K74">
        <v>5.9677048939630284E-79</v>
      </c>
      <c r="L74">
        <v>1.2456261263188301E-76</v>
      </c>
      <c r="M74">
        <v>-8.2052124074760222</v>
      </c>
      <c r="N74">
        <v>29.982551810577501</v>
      </c>
    </row>
    <row r="75" spans="1:14" x14ac:dyDescent="0.2">
      <c r="A75">
        <v>225</v>
      </c>
      <c r="B75">
        <v>32.270000000000003</v>
      </c>
      <c r="C75">
        <v>257.13</v>
      </c>
      <c r="D75" s="1">
        <v>45932</v>
      </c>
      <c r="E75" s="1">
        <v>45982</v>
      </c>
      <c r="F75">
        <v>0.136986</v>
      </c>
      <c r="G75">
        <v>5.2999345000000003E-2</v>
      </c>
      <c r="H75">
        <v>3.7488444410991598E-2</v>
      </c>
      <c r="I75">
        <v>0</v>
      </c>
      <c r="J75">
        <v>0.99999999999926004</v>
      </c>
      <c r="K75">
        <v>1.058146122431557E-12</v>
      </c>
      <c r="L75">
        <v>5.0792294390295474E-10</v>
      </c>
      <c r="M75">
        <v>-8.3916945077370375</v>
      </c>
      <c r="N75">
        <v>30.663973442609951</v>
      </c>
    </row>
    <row r="76" spans="1:14" x14ac:dyDescent="0.2">
      <c r="A76">
        <v>230</v>
      </c>
      <c r="B76">
        <v>27.13</v>
      </c>
      <c r="C76">
        <v>257.13</v>
      </c>
      <c r="D76" s="1">
        <v>45932</v>
      </c>
      <c r="E76" s="1">
        <v>45982</v>
      </c>
      <c r="F76">
        <v>0.136986</v>
      </c>
      <c r="G76">
        <v>3.1859598000000003E-2</v>
      </c>
      <c r="H76">
        <v>3.7488444410991598E-2</v>
      </c>
      <c r="I76">
        <v>0</v>
      </c>
      <c r="J76">
        <v>1</v>
      </c>
      <c r="K76">
        <v>7.0447290108119611E-23</v>
      </c>
      <c r="L76">
        <v>2.0327607548583671E-20</v>
      </c>
      <c r="M76">
        <v>-8.578176607815843</v>
      </c>
      <c r="N76">
        <v>31.345395074694661</v>
      </c>
    </row>
    <row r="77" spans="1:14" x14ac:dyDescent="0.2">
      <c r="A77">
        <v>235</v>
      </c>
      <c r="B77">
        <v>22.5</v>
      </c>
      <c r="C77">
        <v>257.13</v>
      </c>
      <c r="D77" s="1">
        <v>45932</v>
      </c>
      <c r="E77" s="1">
        <v>45982</v>
      </c>
      <c r="F77">
        <v>0.136986</v>
      </c>
      <c r="G77">
        <v>3.9955802226131001E-2</v>
      </c>
      <c r="H77">
        <v>3.7488444410991598E-2</v>
      </c>
      <c r="I77">
        <v>0</v>
      </c>
      <c r="J77">
        <v>0.99999999994038113</v>
      </c>
      <c r="K77">
        <v>1.033054200506669E-10</v>
      </c>
      <c r="L77">
        <v>3.7383903485203453E-8</v>
      </c>
      <c r="M77">
        <v>-8.7646587128618272</v>
      </c>
      <c r="N77">
        <v>32.026816704648652</v>
      </c>
    </row>
    <row r="78" spans="1:14" x14ac:dyDescent="0.2">
      <c r="A78">
        <v>240</v>
      </c>
      <c r="B78">
        <v>17.239999999999998</v>
      </c>
      <c r="C78">
        <v>257.13</v>
      </c>
      <c r="D78" s="1">
        <v>45932</v>
      </c>
      <c r="E78" s="1">
        <v>45982</v>
      </c>
      <c r="F78">
        <v>0.136986</v>
      </c>
      <c r="G78">
        <v>2.7214208264938439E-2</v>
      </c>
      <c r="H78">
        <v>3.7488444410991598E-2</v>
      </c>
      <c r="I78">
        <v>0</v>
      </c>
      <c r="J78">
        <v>0.99999999999990774</v>
      </c>
      <c r="K78">
        <v>2.6675897279288879E-13</v>
      </c>
      <c r="L78">
        <v>6.5750101035227366E-11</v>
      </c>
      <c r="M78">
        <v>-8.951140808161302</v>
      </c>
      <c r="N78">
        <v>32.70823833880857</v>
      </c>
    </row>
    <row r="79" spans="1:14" x14ac:dyDescent="0.2">
      <c r="A79">
        <v>250</v>
      </c>
      <c r="B79">
        <v>7.6</v>
      </c>
      <c r="C79">
        <v>257.13</v>
      </c>
      <c r="D79" s="1">
        <v>45932</v>
      </c>
      <c r="E79" s="1">
        <v>45982</v>
      </c>
      <c r="F79">
        <v>0.136986</v>
      </c>
      <c r="G79">
        <v>1.1554603E-2</v>
      </c>
      <c r="H79">
        <v>3.7488444410991598E-2</v>
      </c>
      <c r="I79">
        <v>0</v>
      </c>
      <c r="J79">
        <v>0.99999999999999634</v>
      </c>
      <c r="K79">
        <v>2.6358392890752691E-14</v>
      </c>
      <c r="L79">
        <v>2.758389808598869E-12</v>
      </c>
      <c r="M79">
        <v>-9.3241050084955592</v>
      </c>
      <c r="N79">
        <v>34.071081602928849</v>
      </c>
    </row>
    <row r="80" spans="1:14" x14ac:dyDescent="0.2">
      <c r="A80">
        <v>260</v>
      </c>
      <c r="B80">
        <v>0.43</v>
      </c>
      <c r="C80">
        <v>257.13</v>
      </c>
      <c r="D80" s="1">
        <v>45932</v>
      </c>
      <c r="E80" s="1">
        <v>45982</v>
      </c>
      <c r="F80">
        <v>0.136986</v>
      </c>
      <c r="G80">
        <v>2.678222034469821E-2</v>
      </c>
      <c r="H80">
        <v>3.7488444410991598E-2</v>
      </c>
      <c r="I80">
        <v>0</v>
      </c>
      <c r="J80">
        <v>0.27533675415531278</v>
      </c>
      <c r="K80">
        <v>0.13099173961445459</v>
      </c>
      <c r="L80">
        <v>31.774020588166682</v>
      </c>
      <c r="M80">
        <v>-5.7440416273202537</v>
      </c>
      <c r="N80">
        <v>9.6393403813659315</v>
      </c>
    </row>
    <row r="81" spans="1:14" x14ac:dyDescent="0.2">
      <c r="A81">
        <v>265</v>
      </c>
      <c r="B81">
        <v>0.05</v>
      </c>
      <c r="C81">
        <v>257.13</v>
      </c>
      <c r="D81" s="1">
        <v>45932</v>
      </c>
      <c r="E81" s="1">
        <v>45982</v>
      </c>
      <c r="F81">
        <v>0.136986</v>
      </c>
      <c r="G81">
        <v>3.7325992729385138E-2</v>
      </c>
      <c r="H81">
        <v>3.7488444410991598E-2</v>
      </c>
      <c r="I81">
        <v>0</v>
      </c>
      <c r="J81">
        <v>3.5643827672678922E-2</v>
      </c>
      <c r="K81">
        <v>2.2080143580571081E-2</v>
      </c>
      <c r="L81">
        <v>7.4644006901930551</v>
      </c>
      <c r="M81">
        <v>-1.3586620645360441</v>
      </c>
      <c r="N81">
        <v>1.2486407308255301</v>
      </c>
    </row>
    <row r="82" spans="1:14" x14ac:dyDescent="0.2">
      <c r="A82">
        <v>210</v>
      </c>
      <c r="B82">
        <v>45.56</v>
      </c>
      <c r="C82">
        <v>254.04</v>
      </c>
      <c r="D82" s="1">
        <v>45939</v>
      </c>
      <c r="E82" s="1">
        <v>45982</v>
      </c>
      <c r="F82">
        <v>0.117808</v>
      </c>
      <c r="G82">
        <v>0.34808912629397731</v>
      </c>
      <c r="H82">
        <v>3.7488444410991598E-2</v>
      </c>
      <c r="I82">
        <v>0</v>
      </c>
      <c r="J82">
        <v>0.95450577989419627</v>
      </c>
      <c r="K82">
        <v>3.1505345677648698E-3</v>
      </c>
      <c r="L82">
        <v>8.3378426934968353</v>
      </c>
      <c r="M82">
        <v>-19.700300370973579</v>
      </c>
      <c r="N82">
        <v>23.199063353791551</v>
      </c>
    </row>
    <row r="83" spans="1:14" x14ac:dyDescent="0.2">
      <c r="A83">
        <v>215</v>
      </c>
      <c r="B83">
        <v>40.799999999999997</v>
      </c>
      <c r="C83">
        <v>254.04</v>
      </c>
      <c r="D83" s="1">
        <v>45939</v>
      </c>
      <c r="E83" s="1">
        <v>45982</v>
      </c>
      <c r="F83">
        <v>0.117808</v>
      </c>
      <c r="G83">
        <v>0.33583237830441931</v>
      </c>
      <c r="H83">
        <v>3.7488444410991598E-2</v>
      </c>
      <c r="I83">
        <v>0</v>
      </c>
      <c r="J83">
        <v>0.93864197445499631</v>
      </c>
      <c r="K83">
        <v>4.1398651331718654E-3</v>
      </c>
      <c r="L83">
        <v>10.5703106128455</v>
      </c>
      <c r="M83">
        <v>-22.47595146243961</v>
      </c>
      <c r="N83">
        <v>23.285058298310499</v>
      </c>
    </row>
    <row r="84" spans="1:14" x14ac:dyDescent="0.2">
      <c r="A84">
        <v>220</v>
      </c>
      <c r="B84">
        <v>36.08</v>
      </c>
      <c r="C84">
        <v>254.04</v>
      </c>
      <c r="D84" s="1">
        <v>45939</v>
      </c>
      <c r="E84" s="1">
        <v>45982</v>
      </c>
      <c r="F84">
        <v>0.117808</v>
      </c>
      <c r="G84">
        <v>0.32093448711480188</v>
      </c>
      <c r="H84">
        <v>3.7488444410991598E-2</v>
      </c>
      <c r="I84">
        <v>0</v>
      </c>
      <c r="J84">
        <v>0.91942102511117252</v>
      </c>
      <c r="K84">
        <v>5.3416219002102722E-3</v>
      </c>
      <c r="L84">
        <v>13.03372409194489</v>
      </c>
      <c r="M84">
        <v>-25.15692482374639</v>
      </c>
      <c r="N84">
        <v>23.265868590111459</v>
      </c>
    </row>
    <row r="85" spans="1:14" x14ac:dyDescent="0.2">
      <c r="A85">
        <v>225</v>
      </c>
      <c r="B85">
        <v>31.4</v>
      </c>
      <c r="C85">
        <v>254.04</v>
      </c>
      <c r="D85" s="1">
        <v>45939</v>
      </c>
      <c r="E85" s="1">
        <v>45982</v>
      </c>
      <c r="F85">
        <v>0.117808</v>
      </c>
      <c r="G85">
        <v>0.30334018042298799</v>
      </c>
      <c r="H85">
        <v>3.7488444410991598E-2</v>
      </c>
      <c r="I85">
        <v>0</v>
      </c>
      <c r="J85">
        <v>0.89623757937143844</v>
      </c>
      <c r="K85">
        <v>6.8159807498567246E-3</v>
      </c>
      <c r="L85">
        <v>15.71944784822497</v>
      </c>
      <c r="M85">
        <v>-27.59599953106245</v>
      </c>
      <c r="N85">
        <v>23.123377167554182</v>
      </c>
    </row>
    <row r="86" spans="1:14" x14ac:dyDescent="0.2">
      <c r="A86">
        <v>230</v>
      </c>
      <c r="B86">
        <v>26.67</v>
      </c>
      <c r="C86">
        <v>254.04</v>
      </c>
      <c r="D86" s="1">
        <v>45939</v>
      </c>
      <c r="E86" s="1">
        <v>45982</v>
      </c>
      <c r="F86">
        <v>0.117808</v>
      </c>
      <c r="G86">
        <v>0.27805971462742962</v>
      </c>
      <c r="H86">
        <v>3.7488444410991598E-2</v>
      </c>
      <c r="I86">
        <v>0</v>
      </c>
      <c r="J86">
        <v>0.87194398987758026</v>
      </c>
      <c r="K86">
        <v>8.6345167982039752E-3</v>
      </c>
      <c r="L86">
        <v>18.253876282343491</v>
      </c>
      <c r="M86">
        <v>-28.846315753435231</v>
      </c>
      <c r="N86">
        <v>22.95355181694292</v>
      </c>
    </row>
    <row r="87" spans="1:14" x14ac:dyDescent="0.2">
      <c r="A87">
        <v>235</v>
      </c>
      <c r="B87">
        <v>22.85</v>
      </c>
      <c r="C87">
        <v>254.04</v>
      </c>
      <c r="D87" s="1">
        <v>45939</v>
      </c>
      <c r="E87" s="1">
        <v>45982</v>
      </c>
      <c r="F87">
        <v>0.117808</v>
      </c>
      <c r="G87">
        <v>0.28982997745360611</v>
      </c>
      <c r="H87">
        <v>3.7488444410991598E-2</v>
      </c>
      <c r="I87">
        <v>0</v>
      </c>
      <c r="J87">
        <v>0.8098324016406615</v>
      </c>
      <c r="K87">
        <v>1.0743772470427491E-2</v>
      </c>
      <c r="L87">
        <v>23.67440629806352</v>
      </c>
      <c r="M87">
        <v>-35.977640257482257</v>
      </c>
      <c r="N87">
        <v>21.544706224700771</v>
      </c>
    </row>
    <row r="88" spans="1:14" x14ac:dyDescent="0.2">
      <c r="A88">
        <v>240</v>
      </c>
      <c r="B88">
        <v>18.91</v>
      </c>
      <c r="C88">
        <v>254.04</v>
      </c>
      <c r="D88" s="1">
        <v>45939</v>
      </c>
      <c r="E88" s="1">
        <v>45982</v>
      </c>
      <c r="F88">
        <v>0.117808</v>
      </c>
      <c r="G88">
        <v>0.28214645370642299</v>
      </c>
      <c r="H88">
        <v>3.7488444410991598E-2</v>
      </c>
      <c r="I88">
        <v>0</v>
      </c>
      <c r="J88">
        <v>0.75209451990748888</v>
      </c>
      <c r="K88">
        <v>1.285917946248304E-2</v>
      </c>
      <c r="L88">
        <v>27.58460977723513</v>
      </c>
      <c r="M88">
        <v>-39.485850421091037</v>
      </c>
      <c r="N88">
        <v>20.280893635153529</v>
      </c>
    </row>
    <row r="89" spans="1:14" x14ac:dyDescent="0.2">
      <c r="A89">
        <v>250</v>
      </c>
      <c r="B89">
        <v>11.95</v>
      </c>
      <c r="C89">
        <v>254.04</v>
      </c>
      <c r="D89" s="1">
        <v>45939</v>
      </c>
      <c r="E89" s="1">
        <v>45982</v>
      </c>
      <c r="F89">
        <v>0.117808</v>
      </c>
      <c r="G89">
        <v>0.26583636074334771</v>
      </c>
      <c r="H89">
        <v>3.7488444410991598E-2</v>
      </c>
      <c r="I89">
        <v>0</v>
      </c>
      <c r="J89">
        <v>0.60631112268834875</v>
      </c>
      <c r="K89">
        <v>1.6596223928538059E-2</v>
      </c>
      <c r="L89">
        <v>33.543058543329792</v>
      </c>
      <c r="M89">
        <v>-43.171583314345597</v>
      </c>
      <c r="N89">
        <v>16.737839920413631</v>
      </c>
    </row>
    <row r="90" spans="1:14" x14ac:dyDescent="0.2">
      <c r="A90">
        <v>260</v>
      </c>
      <c r="B90">
        <v>6.82</v>
      </c>
      <c r="C90">
        <v>254.04</v>
      </c>
      <c r="D90" s="1">
        <v>45939</v>
      </c>
      <c r="E90" s="1">
        <v>45982</v>
      </c>
      <c r="F90">
        <v>0.117808</v>
      </c>
      <c r="G90">
        <v>0.25705931768396029</v>
      </c>
      <c r="H90">
        <v>3.7488444410991598E-2</v>
      </c>
      <c r="I90">
        <v>0</v>
      </c>
      <c r="J90">
        <v>0.43303165713910491</v>
      </c>
      <c r="K90">
        <v>1.754729329716247E-2</v>
      </c>
      <c r="L90">
        <v>34.294342190680602</v>
      </c>
      <c r="M90">
        <v>-41.283790213280547</v>
      </c>
      <c r="N90">
        <v>12.156296763656441</v>
      </c>
    </row>
    <row r="91" spans="1:14" x14ac:dyDescent="0.2">
      <c r="A91">
        <v>265</v>
      </c>
      <c r="B91">
        <v>4.95</v>
      </c>
      <c r="C91">
        <v>254.04</v>
      </c>
      <c r="D91" s="1">
        <v>45939</v>
      </c>
      <c r="E91" s="1">
        <v>45982</v>
      </c>
      <c r="F91">
        <v>0.117808</v>
      </c>
      <c r="G91">
        <v>0.25429804352594437</v>
      </c>
      <c r="H91">
        <v>3.7488444410991598E-2</v>
      </c>
      <c r="I91">
        <v>0</v>
      </c>
      <c r="J91">
        <v>0.34838667654838867</v>
      </c>
      <c r="K91">
        <v>1.667645253035795E-2</v>
      </c>
      <c r="L91">
        <v>32.242275289904207</v>
      </c>
      <c r="M91">
        <v>-37.931087417704738</v>
      </c>
      <c r="N91">
        <v>9.8433474575699975</v>
      </c>
    </row>
    <row r="92" spans="1:14" x14ac:dyDescent="0.2">
      <c r="A92">
        <v>210</v>
      </c>
      <c r="B92">
        <v>39.31</v>
      </c>
      <c r="C92">
        <v>247.77</v>
      </c>
      <c r="D92" s="1">
        <v>45944</v>
      </c>
      <c r="E92" s="1">
        <v>45982</v>
      </c>
      <c r="F92">
        <v>0.10410999999999999</v>
      </c>
      <c r="G92">
        <v>0.34658196173060513</v>
      </c>
      <c r="H92">
        <v>3.7488444410991598E-2</v>
      </c>
      <c r="I92">
        <v>0</v>
      </c>
      <c r="J92">
        <v>0.9417700455884952</v>
      </c>
      <c r="K92">
        <v>4.1994672419657948E-3</v>
      </c>
      <c r="L92">
        <v>9.3022935781877951</v>
      </c>
      <c r="M92">
        <v>-22.75762894867858</v>
      </c>
      <c r="N92">
        <v>20.200709399500202</v>
      </c>
    </row>
    <row r="93" spans="1:14" x14ac:dyDescent="0.2">
      <c r="A93">
        <v>215</v>
      </c>
      <c r="B93">
        <v>35.049999999999997</v>
      </c>
      <c r="C93">
        <v>247.77</v>
      </c>
      <c r="D93" s="1">
        <v>45944</v>
      </c>
      <c r="E93" s="1">
        <v>45982</v>
      </c>
      <c r="F93">
        <v>0.10410999999999999</v>
      </c>
      <c r="G93">
        <v>0.36761422528250948</v>
      </c>
      <c r="H93">
        <v>3.7488444410991598E-2</v>
      </c>
      <c r="I93">
        <v>0</v>
      </c>
      <c r="J93">
        <v>0.90116336703283995</v>
      </c>
      <c r="K93">
        <v>5.9206700141354682E-3</v>
      </c>
      <c r="L93">
        <v>13.91083032097244</v>
      </c>
      <c r="M93">
        <v>-31.616188863328681</v>
      </c>
      <c r="N93">
        <v>19.596755169851392</v>
      </c>
    </row>
    <row r="94" spans="1:14" x14ac:dyDescent="0.2">
      <c r="A94">
        <v>220</v>
      </c>
      <c r="B94">
        <v>30.05</v>
      </c>
      <c r="C94">
        <v>247.77</v>
      </c>
      <c r="D94" s="1">
        <v>45944</v>
      </c>
      <c r="E94" s="1">
        <v>45982</v>
      </c>
      <c r="F94">
        <v>0.10410999999999999</v>
      </c>
      <c r="G94">
        <v>0.32296073440536782</v>
      </c>
      <c r="H94">
        <v>3.7488444410991598E-2</v>
      </c>
      <c r="I94">
        <v>0</v>
      </c>
      <c r="J94">
        <v>0.89070797608352081</v>
      </c>
      <c r="K94">
        <v>7.2490652925633354E-3</v>
      </c>
      <c r="L94">
        <v>14.96310155776167</v>
      </c>
      <c r="M94">
        <v>-30.355421818842078</v>
      </c>
      <c r="N94">
        <v>19.84760486095513</v>
      </c>
    </row>
    <row r="95" spans="1:14" x14ac:dyDescent="0.2">
      <c r="A95">
        <v>225</v>
      </c>
      <c r="B95">
        <v>25.45</v>
      </c>
      <c r="C95">
        <v>247.77</v>
      </c>
      <c r="D95" s="1">
        <v>45944</v>
      </c>
      <c r="E95" s="1">
        <v>45982</v>
      </c>
      <c r="F95">
        <v>0.10410999999999999</v>
      </c>
      <c r="G95">
        <v>0.30179476304202368</v>
      </c>
      <c r="H95">
        <v>3.7488444410991598E-2</v>
      </c>
      <c r="I95">
        <v>0</v>
      </c>
      <c r="J95">
        <v>0.85964761289590952</v>
      </c>
      <c r="K95">
        <v>9.2409092688909254E-3</v>
      </c>
      <c r="L95">
        <v>17.824456390862281</v>
      </c>
      <c r="M95">
        <v>-32.865592738653909</v>
      </c>
      <c r="N95">
        <v>19.52529839808609</v>
      </c>
    </row>
    <row r="96" spans="1:14" x14ac:dyDescent="0.2">
      <c r="A96">
        <v>230</v>
      </c>
      <c r="B96">
        <v>21.2</v>
      </c>
      <c r="C96">
        <v>247.77</v>
      </c>
      <c r="D96" s="1">
        <v>45944</v>
      </c>
      <c r="E96" s="1">
        <v>45982</v>
      </c>
      <c r="F96">
        <v>0.10410999999999999</v>
      </c>
      <c r="G96">
        <v>0.29122420134213373</v>
      </c>
      <c r="H96">
        <v>3.7488444410991598E-2</v>
      </c>
      <c r="I96">
        <v>0</v>
      </c>
      <c r="J96">
        <v>0.81071078878665048</v>
      </c>
      <c r="K96">
        <v>1.162868405331405E-2</v>
      </c>
      <c r="L96">
        <v>21.644518156975721</v>
      </c>
      <c r="M96">
        <v>-37.008366246905602</v>
      </c>
      <c r="N96">
        <v>18.705424141564421</v>
      </c>
    </row>
    <row r="97" spans="1:14" x14ac:dyDescent="0.2">
      <c r="A97">
        <v>235</v>
      </c>
      <c r="B97">
        <v>17.59</v>
      </c>
      <c r="C97">
        <v>247.77</v>
      </c>
      <c r="D97" s="1">
        <v>45944</v>
      </c>
      <c r="E97" s="1">
        <v>45982</v>
      </c>
      <c r="F97">
        <v>0.10410999999999999</v>
      </c>
      <c r="G97">
        <v>0.29581189195581942</v>
      </c>
      <c r="H97">
        <v>3.7488444410991598E-2</v>
      </c>
      <c r="I97">
        <v>0</v>
      </c>
      <c r="J97">
        <v>0.73989134910018417</v>
      </c>
      <c r="K97">
        <v>1.3718835776299921E-2</v>
      </c>
      <c r="L97">
        <v>25.937181111609188</v>
      </c>
      <c r="M97">
        <v>-43.061241008709068</v>
      </c>
      <c r="N97">
        <v>17.254450091669259</v>
      </c>
    </row>
    <row r="98" spans="1:14" x14ac:dyDescent="0.2">
      <c r="A98">
        <v>240</v>
      </c>
      <c r="B98">
        <v>13.67</v>
      </c>
      <c r="C98">
        <v>247.77</v>
      </c>
      <c r="D98" s="1">
        <v>45944</v>
      </c>
      <c r="E98" s="1">
        <v>45982</v>
      </c>
      <c r="F98">
        <v>0.10410999999999999</v>
      </c>
      <c r="G98">
        <v>0.27547940325191361</v>
      </c>
      <c r="H98">
        <v>3.7488444410991598E-2</v>
      </c>
      <c r="I98">
        <v>0</v>
      </c>
      <c r="J98">
        <v>0.67249369550275995</v>
      </c>
      <c r="K98">
        <v>1.6393624690706321E-2</v>
      </c>
      <c r="L98">
        <v>28.863833454735229</v>
      </c>
      <c r="M98">
        <v>-43.921452369290073</v>
      </c>
      <c r="N98">
        <v>15.924016259133349</v>
      </c>
    </row>
    <row r="99" spans="1:14" x14ac:dyDescent="0.2">
      <c r="A99">
        <v>250</v>
      </c>
      <c r="B99">
        <v>8.5500000000000007</v>
      </c>
      <c r="C99">
        <v>247.77</v>
      </c>
      <c r="D99" s="1">
        <v>45944</v>
      </c>
      <c r="E99" s="1">
        <v>45982</v>
      </c>
      <c r="F99">
        <v>0.10410999999999999</v>
      </c>
      <c r="G99">
        <v>0.28671780547113579</v>
      </c>
      <c r="H99">
        <v>3.7488444410991598E-2</v>
      </c>
      <c r="I99">
        <v>0</v>
      </c>
      <c r="J99">
        <v>0.49664589283855909</v>
      </c>
      <c r="K99">
        <v>1.74038410491331E-2</v>
      </c>
      <c r="L99">
        <v>31.892580488747399</v>
      </c>
      <c r="M99">
        <v>-48.208484630181758</v>
      </c>
      <c r="N99">
        <v>11.92100652873664</v>
      </c>
    </row>
    <row r="100" spans="1:14" x14ac:dyDescent="0.2">
      <c r="A100">
        <v>260</v>
      </c>
      <c r="B100">
        <v>4.55</v>
      </c>
      <c r="C100">
        <v>247.77</v>
      </c>
      <c r="D100" s="1">
        <v>45944</v>
      </c>
      <c r="E100" s="1">
        <v>45982</v>
      </c>
      <c r="F100">
        <v>0.10410999999999999</v>
      </c>
      <c r="G100">
        <v>0.27845176088840728</v>
      </c>
      <c r="H100">
        <v>3.7488444410991598E-2</v>
      </c>
      <c r="I100">
        <v>0</v>
      </c>
      <c r="J100">
        <v>0.32711299930193111</v>
      </c>
      <c r="K100">
        <v>1.6210725704852151E-2</v>
      </c>
      <c r="L100">
        <v>28.849767273293381</v>
      </c>
      <c r="M100">
        <v>-41.448497236103996</v>
      </c>
      <c r="N100">
        <v>7.9642888017141438</v>
      </c>
    </row>
    <row r="101" spans="1:14" x14ac:dyDescent="0.2">
      <c r="A101">
        <v>265</v>
      </c>
      <c r="B101">
        <v>3.17</v>
      </c>
      <c r="C101">
        <v>247.77</v>
      </c>
      <c r="D101" s="1">
        <v>45944</v>
      </c>
      <c r="E101" s="1">
        <v>45982</v>
      </c>
      <c r="F101">
        <v>0.10410999999999999</v>
      </c>
      <c r="G101">
        <v>0.2751552436598026</v>
      </c>
      <c r="H101">
        <v>3.7488444410991598E-2</v>
      </c>
      <c r="I101">
        <v>0</v>
      </c>
      <c r="J101">
        <v>0.2517841385711817</v>
      </c>
      <c r="K101">
        <v>1.450052897178237E-2</v>
      </c>
      <c r="L101">
        <v>25.50066623991194</v>
      </c>
      <c r="M101">
        <v>-35.918075176739812</v>
      </c>
      <c r="N101">
        <v>6.1648274265945444</v>
      </c>
    </row>
    <row r="102" spans="1:14" x14ac:dyDescent="0.2">
      <c r="A102">
        <v>210</v>
      </c>
      <c r="B102">
        <v>38.200000000000003</v>
      </c>
      <c r="C102">
        <v>247.45</v>
      </c>
      <c r="D102" s="1">
        <v>45946</v>
      </c>
      <c r="E102" s="1">
        <v>45982</v>
      </c>
      <c r="F102">
        <v>9.8629999999999995E-2</v>
      </c>
      <c r="G102">
        <v>7.8583256000000004E-2</v>
      </c>
      <c r="H102">
        <v>3.7488444410991598E-2</v>
      </c>
      <c r="I102">
        <v>0</v>
      </c>
      <c r="J102">
        <v>0.99999999999516975</v>
      </c>
      <c r="K102">
        <v>5.4990829752727557E-12</v>
      </c>
      <c r="L102">
        <v>2.6097820605299669E-9</v>
      </c>
      <c r="M102">
        <v>-7.8435183516482816</v>
      </c>
      <c r="N102">
        <v>20.635857984379481</v>
      </c>
    </row>
    <row r="103" spans="1:14" x14ac:dyDescent="0.2">
      <c r="A103">
        <v>215</v>
      </c>
      <c r="B103">
        <v>34.03</v>
      </c>
      <c r="C103">
        <v>247.45</v>
      </c>
      <c r="D103" s="1">
        <v>45946</v>
      </c>
      <c r="E103" s="1">
        <v>45982</v>
      </c>
      <c r="F103">
        <v>9.8629999999999995E-2</v>
      </c>
      <c r="G103">
        <v>0.32029783614035112</v>
      </c>
      <c r="H103">
        <v>3.7488444410991598E-2</v>
      </c>
      <c r="I103">
        <v>0</v>
      </c>
      <c r="J103">
        <v>0.93116200630114265</v>
      </c>
      <c r="K103">
        <v>5.3250924838419388E-3</v>
      </c>
      <c r="L103">
        <v>10.300661340418481</v>
      </c>
      <c r="M103">
        <v>-24.087744633703839</v>
      </c>
      <c r="N103">
        <v>19.369554953686048</v>
      </c>
    </row>
    <row r="104" spans="1:14" x14ac:dyDescent="0.2">
      <c r="A104">
        <v>220</v>
      </c>
      <c r="B104">
        <v>29.25</v>
      </c>
      <c r="C104">
        <v>247.45</v>
      </c>
      <c r="D104" s="1">
        <v>45946</v>
      </c>
      <c r="E104" s="1">
        <v>45982</v>
      </c>
      <c r="F104">
        <v>9.8629999999999995E-2</v>
      </c>
      <c r="G104">
        <v>0.29702471684302367</v>
      </c>
      <c r="H104">
        <v>3.7488444410991598E-2</v>
      </c>
      <c r="I104">
        <v>0</v>
      </c>
      <c r="J104">
        <v>0.91097292081876713</v>
      </c>
      <c r="K104">
        <v>6.9785603229808044E-3</v>
      </c>
      <c r="L104">
        <v>12.51821415219114</v>
      </c>
      <c r="M104">
        <v>-26.20344838460468</v>
      </c>
      <c r="N104">
        <v>19.348271676843378</v>
      </c>
    </row>
    <row r="105" spans="1:14" x14ac:dyDescent="0.2">
      <c r="A105">
        <v>225</v>
      </c>
      <c r="B105">
        <v>24.81</v>
      </c>
      <c r="C105">
        <v>247.45</v>
      </c>
      <c r="D105" s="1">
        <v>45946</v>
      </c>
      <c r="E105" s="1">
        <v>45982</v>
      </c>
      <c r="F105">
        <v>9.8629999999999995E-2</v>
      </c>
      <c r="G105">
        <v>0.29086354198058972</v>
      </c>
      <c r="H105">
        <v>3.7488444410991598E-2</v>
      </c>
      <c r="I105">
        <v>0</v>
      </c>
      <c r="J105">
        <v>0.87019770720670775</v>
      </c>
      <c r="K105">
        <v>9.3489773828663719E-3</v>
      </c>
      <c r="L105">
        <v>16.422427261988631</v>
      </c>
      <c r="M105">
        <v>-31.357488973335851</v>
      </c>
      <c r="N105">
        <v>18.791029284833851</v>
      </c>
    </row>
    <row r="106" spans="1:14" x14ac:dyDescent="0.2">
      <c r="A106">
        <v>230</v>
      </c>
      <c r="B106">
        <v>21.47</v>
      </c>
      <c r="C106">
        <v>247.45</v>
      </c>
      <c r="D106" s="1">
        <v>45946</v>
      </c>
      <c r="E106" s="1">
        <v>45982</v>
      </c>
      <c r="F106">
        <v>9.8629999999999995E-2</v>
      </c>
      <c r="G106">
        <v>0.32501857186725341</v>
      </c>
      <c r="H106">
        <v>3.7488444410991598E-2</v>
      </c>
      <c r="I106">
        <v>0</v>
      </c>
      <c r="J106">
        <v>0.78921429851262737</v>
      </c>
      <c r="K106">
        <v>1.143530859318405E-2</v>
      </c>
      <c r="L106">
        <v>22.446054655165259</v>
      </c>
      <c r="M106">
        <v>-43.499880265307347</v>
      </c>
      <c r="N106">
        <v>17.14397293958562</v>
      </c>
    </row>
    <row r="107" spans="1:14" x14ac:dyDescent="0.2">
      <c r="A107">
        <v>235</v>
      </c>
      <c r="B107">
        <v>17.489999999999998</v>
      </c>
      <c r="C107">
        <v>247.45</v>
      </c>
      <c r="D107" s="1">
        <v>45946</v>
      </c>
      <c r="E107" s="1">
        <v>45982</v>
      </c>
      <c r="F107">
        <v>9.8629999999999995E-2</v>
      </c>
      <c r="G107">
        <v>0.31056547540096469</v>
      </c>
      <c r="H107">
        <v>3.7488444410991598E-2</v>
      </c>
      <c r="I107">
        <v>0</v>
      </c>
      <c r="J107">
        <v>0.73103858473366978</v>
      </c>
      <c r="K107">
        <v>1.367346451022811E-2</v>
      </c>
      <c r="L107">
        <v>25.645766990170529</v>
      </c>
      <c r="M107">
        <v>-46.502426545220871</v>
      </c>
      <c r="N107">
        <v>16.116684247256909</v>
      </c>
    </row>
    <row r="108" spans="1:14" x14ac:dyDescent="0.2">
      <c r="A108">
        <v>240</v>
      </c>
      <c r="B108">
        <v>14.01</v>
      </c>
      <c r="C108">
        <v>247.45</v>
      </c>
      <c r="D108" s="1">
        <v>45946</v>
      </c>
      <c r="E108" s="1">
        <v>45982</v>
      </c>
      <c r="F108">
        <v>9.8629999999999995E-2</v>
      </c>
      <c r="G108">
        <v>0.30364007408573102</v>
      </c>
      <c r="H108">
        <v>3.7488444410991598E-2</v>
      </c>
      <c r="I108">
        <v>0</v>
      </c>
      <c r="J108">
        <v>0.65800574347616969</v>
      </c>
      <c r="K108">
        <v>1.5562669406681299E-2</v>
      </c>
      <c r="L108">
        <v>28.538236329378929</v>
      </c>
      <c r="M108">
        <v>-49.507369965523999</v>
      </c>
      <c r="N108">
        <v>14.67747759824206</v>
      </c>
    </row>
    <row r="109" spans="1:14" x14ac:dyDescent="0.2">
      <c r="A109">
        <v>250</v>
      </c>
      <c r="B109">
        <v>8.8000000000000007</v>
      </c>
      <c r="C109">
        <v>247.45</v>
      </c>
      <c r="D109" s="1">
        <v>45946</v>
      </c>
      <c r="E109" s="1">
        <v>45982</v>
      </c>
      <c r="F109">
        <v>9.8629999999999995E-2</v>
      </c>
      <c r="G109">
        <v>0.30848883726064052</v>
      </c>
      <c r="H109">
        <v>3.7488444410991598E-2</v>
      </c>
      <c r="I109">
        <v>0</v>
      </c>
      <c r="J109">
        <v>0.4923338902213783</v>
      </c>
      <c r="K109">
        <v>1.6637897493575322E-2</v>
      </c>
      <c r="L109">
        <v>30.997155879271482</v>
      </c>
      <c r="M109">
        <v>-52.712741873144218</v>
      </c>
      <c r="N109">
        <v>11.147953715413109</v>
      </c>
    </row>
    <row r="110" spans="1:14" x14ac:dyDescent="0.2">
      <c r="A110">
        <v>260</v>
      </c>
      <c r="B110">
        <v>4.5</v>
      </c>
      <c r="C110">
        <v>247.45</v>
      </c>
      <c r="D110" s="1">
        <v>45946</v>
      </c>
      <c r="E110" s="1">
        <v>45982</v>
      </c>
      <c r="F110">
        <v>9.8629999999999995E-2</v>
      </c>
      <c r="G110">
        <v>0.28856928929403092</v>
      </c>
      <c r="H110">
        <v>3.7488444410991598E-2</v>
      </c>
      <c r="I110">
        <v>0</v>
      </c>
      <c r="J110">
        <v>0.32283375237697493</v>
      </c>
      <c r="K110">
        <v>1.6005222627138022E-2</v>
      </c>
      <c r="L110">
        <v>27.893035442941191</v>
      </c>
      <c r="M110">
        <v>-43.630461504838692</v>
      </c>
      <c r="N110">
        <v>7.4352434620930241</v>
      </c>
    </row>
    <row r="111" spans="1:14" x14ac:dyDescent="0.2">
      <c r="A111">
        <v>265</v>
      </c>
      <c r="B111">
        <v>3.15</v>
      </c>
      <c r="C111">
        <v>247.45</v>
      </c>
      <c r="D111" s="1">
        <v>45946</v>
      </c>
      <c r="E111" s="1">
        <v>45982</v>
      </c>
      <c r="F111">
        <v>9.8629999999999995E-2</v>
      </c>
      <c r="G111">
        <v>0.28561543401191469</v>
      </c>
      <c r="H111">
        <v>3.7488444410991598E-2</v>
      </c>
      <c r="I111">
        <v>0</v>
      </c>
      <c r="J111">
        <v>0.2489383481123644</v>
      </c>
      <c r="K111">
        <v>1.4284533489511839E-2</v>
      </c>
      <c r="L111">
        <v>24.639488222551641</v>
      </c>
      <c r="M111">
        <v>-37.867041616425652</v>
      </c>
      <c r="N111">
        <v>5.7649032059308762</v>
      </c>
    </row>
    <row r="112" spans="1:14" x14ac:dyDescent="0.2">
      <c r="A112">
        <v>210</v>
      </c>
      <c r="B112">
        <v>54.06</v>
      </c>
      <c r="C112">
        <v>262.77</v>
      </c>
      <c r="D112" s="1">
        <v>45951</v>
      </c>
      <c r="E112" s="1">
        <v>45982</v>
      </c>
      <c r="F112">
        <v>8.4931999999999994E-2</v>
      </c>
      <c r="G112">
        <v>0.4664826963504658</v>
      </c>
      <c r="H112">
        <v>3.7488444410991598E-2</v>
      </c>
      <c r="I112">
        <v>0</v>
      </c>
      <c r="J112">
        <v>0.959101338157064</v>
      </c>
      <c r="K112">
        <v>2.4561928929839661E-3</v>
      </c>
      <c r="L112">
        <v>6.7192518927339746</v>
      </c>
      <c r="M112">
        <v>-25.87382286988322</v>
      </c>
      <c r="N112">
        <v>16.813398467124919</v>
      </c>
    </row>
    <row r="113" spans="1:14" x14ac:dyDescent="0.2">
      <c r="A113">
        <v>215</v>
      </c>
      <c r="B113">
        <v>49.55</v>
      </c>
      <c r="C113">
        <v>262.77</v>
      </c>
      <c r="D113" s="1">
        <v>45951</v>
      </c>
      <c r="E113" s="1">
        <v>45982</v>
      </c>
      <c r="F113">
        <v>8.4931999999999994E-2</v>
      </c>
      <c r="G113">
        <v>0.48274310237251811</v>
      </c>
      <c r="H113">
        <v>3.7488444410991598E-2</v>
      </c>
      <c r="I113">
        <v>0</v>
      </c>
      <c r="J113">
        <v>0.93563567383659918</v>
      </c>
      <c r="K113">
        <v>3.403742877598143E-3</v>
      </c>
      <c r="L113">
        <v>9.6359765826499135</v>
      </c>
      <c r="M113">
        <v>-34.744099827432763</v>
      </c>
      <c r="N113">
        <v>16.672744932878061</v>
      </c>
    </row>
    <row r="114" spans="1:14" x14ac:dyDescent="0.2">
      <c r="A114">
        <v>220</v>
      </c>
      <c r="B114">
        <v>43.96</v>
      </c>
      <c r="C114">
        <v>262.77</v>
      </c>
      <c r="D114" s="1">
        <v>45951</v>
      </c>
      <c r="E114" s="1">
        <v>45982</v>
      </c>
      <c r="F114">
        <v>8.4931999999999994E-2</v>
      </c>
      <c r="G114">
        <v>0.36862926404743201</v>
      </c>
      <c r="H114">
        <v>3.7488444410991598E-2</v>
      </c>
      <c r="I114">
        <v>0</v>
      </c>
      <c r="J114">
        <v>0.95880664144829575</v>
      </c>
      <c r="K114">
        <v>3.1263452523446989E-3</v>
      </c>
      <c r="L114">
        <v>6.7584897469184462</v>
      </c>
      <c r="M114">
        <v>-22.463950299036629</v>
      </c>
      <c r="N114">
        <v>17.664634701787872</v>
      </c>
    </row>
    <row r="115" spans="1:14" x14ac:dyDescent="0.2">
      <c r="A115">
        <v>225</v>
      </c>
      <c r="B115">
        <v>39.340000000000003</v>
      </c>
      <c r="C115">
        <v>262.77</v>
      </c>
      <c r="D115" s="1">
        <v>45951</v>
      </c>
      <c r="E115" s="1">
        <v>45982</v>
      </c>
      <c r="F115">
        <v>8.4931999999999994E-2</v>
      </c>
      <c r="G115">
        <v>0.37329588916262829</v>
      </c>
      <c r="H115">
        <v>3.7488444410991598E-2</v>
      </c>
      <c r="I115">
        <v>0</v>
      </c>
      <c r="J115">
        <v>0.93448703166562619</v>
      </c>
      <c r="K115">
        <v>4.4625493402397024E-3</v>
      </c>
      <c r="L115">
        <v>9.7692033904960223</v>
      </c>
      <c r="M115">
        <v>-29.199645720362369</v>
      </c>
      <c r="N115">
        <v>17.514265731880279</v>
      </c>
    </row>
    <row r="116" spans="1:14" x14ac:dyDescent="0.2">
      <c r="A116">
        <v>230</v>
      </c>
      <c r="B116">
        <v>34.72</v>
      </c>
      <c r="C116">
        <v>262.77</v>
      </c>
      <c r="D116" s="1">
        <v>45951</v>
      </c>
      <c r="E116" s="1">
        <v>45982</v>
      </c>
      <c r="F116">
        <v>8.4931999999999994E-2</v>
      </c>
      <c r="G116">
        <v>0.36383939145594291</v>
      </c>
      <c r="H116">
        <v>3.7488444410991598E-2</v>
      </c>
      <c r="I116">
        <v>0</v>
      </c>
      <c r="J116">
        <v>0.9097542452473143</v>
      </c>
      <c r="K116">
        <v>5.8400907981077596E-3</v>
      </c>
      <c r="L116">
        <v>12.460980865405681</v>
      </c>
      <c r="M116">
        <v>-34.350982420711702</v>
      </c>
      <c r="N116">
        <v>17.35467559860804</v>
      </c>
    </row>
    <row r="117" spans="1:14" x14ac:dyDescent="0.2">
      <c r="A117">
        <v>235</v>
      </c>
      <c r="B117">
        <v>29.8</v>
      </c>
      <c r="C117">
        <v>262.77</v>
      </c>
      <c r="D117" s="1">
        <v>45951</v>
      </c>
      <c r="E117" s="1">
        <v>45982</v>
      </c>
      <c r="F117">
        <v>8.4931999999999994E-2</v>
      </c>
      <c r="G117">
        <v>0.32500130490137658</v>
      </c>
      <c r="H117">
        <v>3.7488444410991598E-2</v>
      </c>
      <c r="I117">
        <v>0</v>
      </c>
      <c r="J117">
        <v>0.89620650851127492</v>
      </c>
      <c r="K117">
        <v>7.2451195179076E-3</v>
      </c>
      <c r="L117">
        <v>13.80872472310655</v>
      </c>
      <c r="M117">
        <v>-34.131504740782233</v>
      </c>
      <c r="N117">
        <v>17.47018831849228</v>
      </c>
    </row>
    <row r="118" spans="1:14" x14ac:dyDescent="0.2">
      <c r="A118">
        <v>240</v>
      </c>
      <c r="B118">
        <v>25.48</v>
      </c>
      <c r="C118">
        <v>262.77</v>
      </c>
      <c r="D118" s="1">
        <v>45951</v>
      </c>
      <c r="E118" s="1">
        <v>45982</v>
      </c>
      <c r="F118">
        <v>8.4931999999999994E-2</v>
      </c>
      <c r="G118">
        <v>0.32129082099881617</v>
      </c>
      <c r="H118">
        <v>3.7488444410991598E-2</v>
      </c>
      <c r="I118">
        <v>0</v>
      </c>
      <c r="J118">
        <v>0.85287574656436416</v>
      </c>
      <c r="K118">
        <v>9.3545071886158467E-3</v>
      </c>
      <c r="L118">
        <v>17.625528355434049</v>
      </c>
      <c r="M118">
        <v>-40.784302999223542</v>
      </c>
      <c r="N118">
        <v>16.87005674252427</v>
      </c>
    </row>
    <row r="119" spans="1:14" x14ac:dyDescent="0.2">
      <c r="A119">
        <v>250</v>
      </c>
      <c r="B119">
        <v>17.260000000000002</v>
      </c>
      <c r="C119">
        <v>262.77</v>
      </c>
      <c r="D119" s="1">
        <v>45951</v>
      </c>
      <c r="E119" s="1">
        <v>45982</v>
      </c>
      <c r="F119">
        <v>8.4931999999999994E-2</v>
      </c>
      <c r="G119">
        <v>0.29844476065280728</v>
      </c>
      <c r="H119">
        <v>3.7488444410991598E-2</v>
      </c>
      <c r="I119">
        <v>0</v>
      </c>
      <c r="J119">
        <v>0.74308196936125603</v>
      </c>
      <c r="K119">
        <v>1.4105101113154861E-2</v>
      </c>
      <c r="L119">
        <v>24.68670208075299</v>
      </c>
      <c r="M119">
        <v>-50.046551752182609</v>
      </c>
      <c r="N119">
        <v>15.11786619642881</v>
      </c>
    </row>
    <row r="120" spans="1:14" x14ac:dyDescent="0.2">
      <c r="A120">
        <v>260</v>
      </c>
      <c r="B120">
        <v>10.47</v>
      </c>
      <c r="C120">
        <v>262.77</v>
      </c>
      <c r="D120" s="1">
        <v>45951</v>
      </c>
      <c r="E120" s="1">
        <v>45982</v>
      </c>
      <c r="F120">
        <v>8.4931999999999994E-2</v>
      </c>
      <c r="G120">
        <v>0.28192923567476658</v>
      </c>
      <c r="H120">
        <v>3.7488444410991598E-2</v>
      </c>
      <c r="I120">
        <v>0</v>
      </c>
      <c r="J120">
        <v>0.58270360660218845</v>
      </c>
      <c r="K120">
        <v>1.807965278873756E-2</v>
      </c>
      <c r="L120">
        <v>29.891871934957461</v>
      </c>
      <c r="M120">
        <v>-54.960202892541027</v>
      </c>
      <c r="N120">
        <v>12.11529727226678</v>
      </c>
    </row>
    <row r="121" spans="1:14" x14ac:dyDescent="0.2">
      <c r="A121">
        <v>265</v>
      </c>
      <c r="B121">
        <v>7.78</v>
      </c>
      <c r="C121">
        <v>262.77</v>
      </c>
      <c r="D121" s="1">
        <v>45951</v>
      </c>
      <c r="E121" s="1">
        <v>45982</v>
      </c>
      <c r="F121">
        <v>8.4931999999999994E-2</v>
      </c>
      <c r="G121">
        <v>0.276121418360598</v>
      </c>
      <c r="H121">
        <v>3.7488444410991598E-2</v>
      </c>
      <c r="I121">
        <v>0</v>
      </c>
      <c r="J121">
        <v>0.48994205132258012</v>
      </c>
      <c r="K121">
        <v>1.8860815246286289E-2</v>
      </c>
      <c r="L121">
        <v>30.541015237465011</v>
      </c>
      <c r="M121">
        <v>-54.180446231610027</v>
      </c>
      <c r="N121">
        <v>10.27355076006948</v>
      </c>
    </row>
    <row r="122" spans="1:14" x14ac:dyDescent="0.2">
      <c r="A122">
        <v>210</v>
      </c>
      <c r="B122">
        <v>50.6</v>
      </c>
      <c r="C122">
        <v>259.58</v>
      </c>
      <c r="D122" s="1">
        <v>45953</v>
      </c>
      <c r="E122" s="1">
        <v>45982</v>
      </c>
      <c r="F122">
        <v>7.9451999999999995E-2</v>
      </c>
      <c r="G122">
        <v>0.42335267283582689</v>
      </c>
      <c r="H122">
        <v>3.7488444410991598E-2</v>
      </c>
      <c r="I122">
        <v>0</v>
      </c>
      <c r="J122">
        <v>0.96861619627229978</v>
      </c>
      <c r="K122">
        <v>2.2801718933492601E-3</v>
      </c>
      <c r="L122">
        <v>5.1679366839785574</v>
      </c>
      <c r="M122">
        <v>-21.297369059280001</v>
      </c>
      <c r="N122">
        <v>15.956614679327821</v>
      </c>
    </row>
    <row r="123" spans="1:14" x14ac:dyDescent="0.2">
      <c r="A123">
        <v>215</v>
      </c>
      <c r="B123">
        <v>45.8</v>
      </c>
      <c r="C123">
        <v>259.58</v>
      </c>
      <c r="D123" s="1">
        <v>45953</v>
      </c>
      <c r="E123" s="1">
        <v>45982</v>
      </c>
      <c r="F123">
        <v>7.9451999999999995E-2</v>
      </c>
      <c r="G123">
        <v>0.41396659269527358</v>
      </c>
      <c r="H123">
        <v>3.7488444410991598E-2</v>
      </c>
      <c r="I123">
        <v>0</v>
      </c>
      <c r="J123">
        <v>0.95531148355009221</v>
      </c>
      <c r="K123">
        <v>3.111932353795335E-3</v>
      </c>
      <c r="L123">
        <v>6.8967221966321581</v>
      </c>
      <c r="M123">
        <v>-25.54630644682593</v>
      </c>
      <c r="N123">
        <v>16.063585860175358</v>
      </c>
    </row>
    <row r="124" spans="1:14" x14ac:dyDescent="0.2">
      <c r="A124">
        <v>220</v>
      </c>
      <c r="B124">
        <v>40.799999999999997</v>
      </c>
      <c r="C124">
        <v>259.58</v>
      </c>
      <c r="D124" s="1">
        <v>45953</v>
      </c>
      <c r="E124" s="1">
        <v>45982</v>
      </c>
      <c r="F124">
        <v>7.9451999999999995E-2</v>
      </c>
      <c r="G124">
        <v>0.37106747860748918</v>
      </c>
      <c r="H124">
        <v>3.7488444410991598E-2</v>
      </c>
      <c r="I124">
        <v>0</v>
      </c>
      <c r="J124">
        <v>0.95179266648140681</v>
      </c>
      <c r="K124">
        <v>3.6894913170096612E-3</v>
      </c>
      <c r="L124">
        <v>7.329370501662086</v>
      </c>
      <c r="M124">
        <v>-24.847913035000801</v>
      </c>
      <c r="N124">
        <v>16.38827324509684</v>
      </c>
    </row>
    <row r="125" spans="1:14" x14ac:dyDescent="0.2">
      <c r="A125">
        <v>225</v>
      </c>
      <c r="B125">
        <v>35.44</v>
      </c>
      <c r="C125">
        <v>259.58</v>
      </c>
      <c r="D125" s="1">
        <v>45953</v>
      </c>
      <c r="E125" s="1">
        <v>45982</v>
      </c>
      <c r="F125">
        <v>7.9451999999999995E-2</v>
      </c>
      <c r="G125">
        <v>0.2693101091878442</v>
      </c>
      <c r="H125">
        <v>3.7488444410991598E-2</v>
      </c>
      <c r="I125">
        <v>0</v>
      </c>
      <c r="J125">
        <v>0.97503183068054733</v>
      </c>
      <c r="K125">
        <v>2.9628364739633949E-3</v>
      </c>
      <c r="L125">
        <v>4.2717677087915904</v>
      </c>
      <c r="M125">
        <v>-15.399469850835651</v>
      </c>
      <c r="N125">
        <v>17.293424006642059</v>
      </c>
    </row>
    <row r="126" spans="1:14" x14ac:dyDescent="0.2">
      <c r="A126">
        <v>230</v>
      </c>
      <c r="B126">
        <v>31.33</v>
      </c>
      <c r="C126">
        <v>259.58</v>
      </c>
      <c r="D126" s="1">
        <v>45953</v>
      </c>
      <c r="E126" s="1">
        <v>45982</v>
      </c>
      <c r="F126">
        <v>7.9451999999999995E-2</v>
      </c>
      <c r="G126">
        <v>0.33894118156750019</v>
      </c>
      <c r="H126">
        <v>3.7488444410991598E-2</v>
      </c>
      <c r="I126">
        <v>0</v>
      </c>
      <c r="J126">
        <v>0.91073662189127225</v>
      </c>
      <c r="K126">
        <v>6.508173308411881E-3</v>
      </c>
      <c r="L126">
        <v>11.80947901073915</v>
      </c>
      <c r="M126">
        <v>-32.877633815308762</v>
      </c>
      <c r="N126">
        <v>16.2939376838094</v>
      </c>
    </row>
    <row r="127" spans="1:14" x14ac:dyDescent="0.2">
      <c r="A127">
        <v>235</v>
      </c>
      <c r="B127">
        <v>26.16</v>
      </c>
      <c r="C127">
        <v>259.58</v>
      </c>
      <c r="D127" s="1">
        <v>45953</v>
      </c>
      <c r="E127" s="1">
        <v>45982</v>
      </c>
      <c r="F127">
        <v>7.9451999999999995E-2</v>
      </c>
      <c r="G127">
        <v>0.27932593078156048</v>
      </c>
      <c r="H127">
        <v>3.7488444410991598E-2</v>
      </c>
      <c r="I127">
        <v>0</v>
      </c>
      <c r="J127">
        <v>0.90998795922141429</v>
      </c>
      <c r="K127">
        <v>7.9463782238955276E-3</v>
      </c>
      <c r="L127">
        <v>11.88304596612512</v>
      </c>
      <c r="M127">
        <v>-28.76297617252591</v>
      </c>
      <c r="N127">
        <v>16.689263990161798</v>
      </c>
    </row>
    <row r="128" spans="1:14" x14ac:dyDescent="0.2">
      <c r="A128">
        <v>240</v>
      </c>
      <c r="B128">
        <v>21.96</v>
      </c>
      <c r="C128">
        <v>259.58</v>
      </c>
      <c r="D128" s="1">
        <v>45953</v>
      </c>
      <c r="E128" s="1">
        <v>45982</v>
      </c>
      <c r="F128">
        <v>7.9451999999999995E-2</v>
      </c>
      <c r="G128">
        <v>0.28742928009597851</v>
      </c>
      <c r="H128">
        <v>3.7488444410991598E-2</v>
      </c>
      <c r="I128">
        <v>0</v>
      </c>
      <c r="J128">
        <v>0.85205226709350079</v>
      </c>
      <c r="K128">
        <v>1.098499745324825E-2</v>
      </c>
      <c r="L128">
        <v>16.903563048932021</v>
      </c>
      <c r="M128">
        <v>-38.0438488080082</v>
      </c>
      <c r="N128">
        <v>15.828087980469361</v>
      </c>
    </row>
    <row r="129" spans="1:14" x14ac:dyDescent="0.2">
      <c r="A129">
        <v>250</v>
      </c>
      <c r="B129">
        <v>14.2</v>
      </c>
      <c r="C129">
        <v>259.58</v>
      </c>
      <c r="D129" s="1">
        <v>45953</v>
      </c>
      <c r="E129" s="1">
        <v>45982</v>
      </c>
      <c r="F129">
        <v>7.9451999999999995E-2</v>
      </c>
      <c r="G129">
        <v>0.27977476606066359</v>
      </c>
      <c r="H129">
        <v>3.7488444410991598E-2</v>
      </c>
      <c r="I129">
        <v>0</v>
      </c>
      <c r="J129">
        <v>0.71022447509544007</v>
      </c>
      <c r="K129">
        <v>1.671560671371642E-2</v>
      </c>
      <c r="L129">
        <v>25.03675133033326</v>
      </c>
      <c r="M129">
        <v>-50.460061610035453</v>
      </c>
      <c r="N129">
        <v>13.519557821674701</v>
      </c>
    </row>
    <row r="130" spans="1:14" x14ac:dyDescent="0.2">
      <c r="A130">
        <v>260</v>
      </c>
      <c r="B130">
        <v>7.95</v>
      </c>
      <c r="C130">
        <v>259.58</v>
      </c>
      <c r="D130" s="1">
        <v>45953</v>
      </c>
      <c r="E130" s="1">
        <v>45982</v>
      </c>
      <c r="F130">
        <v>7.9451999999999995E-2</v>
      </c>
      <c r="G130">
        <v>0.26650284691581888</v>
      </c>
      <c r="H130">
        <v>3.7488444410991598E-2</v>
      </c>
      <c r="I130">
        <v>0</v>
      </c>
      <c r="J130">
        <v>0.52220514576368615</v>
      </c>
      <c r="K130">
        <v>2.0427308197368779E-2</v>
      </c>
      <c r="L130">
        <v>29.144746636796508</v>
      </c>
      <c r="M130">
        <v>-53.663238099226163</v>
      </c>
      <c r="N130">
        <v>10.138393944002249</v>
      </c>
    </row>
    <row r="131" spans="1:14" x14ac:dyDescent="0.2">
      <c r="A131">
        <v>265</v>
      </c>
      <c r="B131">
        <v>5.55</v>
      </c>
      <c r="C131">
        <v>259.58</v>
      </c>
      <c r="D131" s="1">
        <v>45953</v>
      </c>
      <c r="E131" s="1">
        <v>45982</v>
      </c>
      <c r="F131">
        <v>7.9451999999999995E-2</v>
      </c>
      <c r="G131">
        <v>0.25960801125318672</v>
      </c>
      <c r="H131">
        <v>3.7488444410991598E-2</v>
      </c>
      <c r="I131">
        <v>0</v>
      </c>
      <c r="J131">
        <v>0.41874429474991892</v>
      </c>
      <c r="K131">
        <v>2.056521224535893E-2</v>
      </c>
      <c r="L131">
        <v>28.582392345632758</v>
      </c>
      <c r="M131">
        <v>-50.563076618572367</v>
      </c>
      <c r="N131">
        <v>8.1952866135656262</v>
      </c>
    </row>
    <row r="132" spans="1:14" x14ac:dyDescent="0.2">
      <c r="A132">
        <v>210</v>
      </c>
      <c r="B132">
        <v>61.9</v>
      </c>
      <c r="C132">
        <v>271.39999999999998</v>
      </c>
      <c r="D132" s="1">
        <v>45960</v>
      </c>
      <c r="E132" s="1">
        <v>45982</v>
      </c>
      <c r="F132">
        <v>6.0274000000000001E-2</v>
      </c>
      <c r="G132">
        <v>0.39325082788349908</v>
      </c>
      <c r="H132">
        <v>3.7488444410991598E-2</v>
      </c>
      <c r="I132">
        <v>0</v>
      </c>
      <c r="J132">
        <v>0.9968168852947733</v>
      </c>
      <c r="K132">
        <v>3.6830498045685098E-4</v>
      </c>
      <c r="L132">
        <v>0.64302363729272893</v>
      </c>
      <c r="M132">
        <v>-9.9191100713867559</v>
      </c>
      <c r="N132">
        <v>12.575332452245741</v>
      </c>
    </row>
    <row r="133" spans="1:14" x14ac:dyDescent="0.2">
      <c r="A133">
        <v>215</v>
      </c>
      <c r="B133">
        <v>57.92</v>
      </c>
      <c r="C133">
        <v>271.39999999999998</v>
      </c>
      <c r="D133" s="1">
        <v>45960</v>
      </c>
      <c r="E133" s="1">
        <v>45982</v>
      </c>
      <c r="F133">
        <v>6.0274000000000001E-2</v>
      </c>
      <c r="G133">
        <v>0.62918962440802428</v>
      </c>
      <c r="H133">
        <v>3.7488444410991598E-2</v>
      </c>
      <c r="I133">
        <v>0</v>
      </c>
      <c r="J133">
        <v>0.94519535686575973</v>
      </c>
      <c r="K133">
        <v>2.6460024933246521E-3</v>
      </c>
      <c r="L133">
        <v>7.3913114356757603</v>
      </c>
      <c r="M133">
        <v>-46.023727065338058</v>
      </c>
      <c r="N133">
        <v>11.97077923982425</v>
      </c>
    </row>
    <row r="134" spans="1:14" x14ac:dyDescent="0.2">
      <c r="A134">
        <v>220</v>
      </c>
      <c r="B134">
        <v>52.01</v>
      </c>
      <c r="C134">
        <v>271.39999999999998</v>
      </c>
      <c r="D134" s="1">
        <v>45960</v>
      </c>
      <c r="E134" s="1">
        <v>45982</v>
      </c>
      <c r="F134">
        <v>6.0274000000000001E-2</v>
      </c>
      <c r="G134">
        <v>0.39221453039052312</v>
      </c>
      <c r="H134">
        <v>3.7488444410991598E-2</v>
      </c>
      <c r="I134">
        <v>0</v>
      </c>
      <c r="J134">
        <v>0.9878431282739476</v>
      </c>
      <c r="K134">
        <v>1.208694144925302E-3</v>
      </c>
      <c r="L134">
        <v>2.1046980452699282</v>
      </c>
      <c r="M134">
        <v>-14.948739218992429</v>
      </c>
      <c r="N134">
        <v>13.02464633135563</v>
      </c>
    </row>
    <row r="135" spans="1:14" x14ac:dyDescent="0.2">
      <c r="A135">
        <v>225</v>
      </c>
      <c r="B135">
        <v>46.75</v>
      </c>
      <c r="C135">
        <v>271.39999999999998</v>
      </c>
      <c r="D135" s="1">
        <v>45960</v>
      </c>
      <c r="E135" s="1">
        <v>45982</v>
      </c>
      <c r="F135">
        <v>6.0274000000000001E-2</v>
      </c>
      <c r="G135">
        <v>0.11024340800012861</v>
      </c>
      <c r="H135">
        <v>3.7488444410991598E-2</v>
      </c>
      <c r="I135">
        <v>0</v>
      </c>
      <c r="J135">
        <v>0.99999999999892497</v>
      </c>
      <c r="K135">
        <v>1.0481064943002501E-12</v>
      </c>
      <c r="L135">
        <v>5.1298863387325802E-10</v>
      </c>
      <c r="M135">
        <v>-8.4158621910758526</v>
      </c>
      <c r="N135">
        <v>13.53104098200194</v>
      </c>
    </row>
    <row r="136" spans="1:14" x14ac:dyDescent="0.2">
      <c r="A136">
        <v>230</v>
      </c>
      <c r="B136">
        <v>42.19</v>
      </c>
      <c r="C136">
        <v>271.39999999999998</v>
      </c>
      <c r="D136" s="1">
        <v>45960</v>
      </c>
      <c r="E136" s="1">
        <v>45982</v>
      </c>
      <c r="F136">
        <v>6.0274000000000001E-2</v>
      </c>
      <c r="G136">
        <v>0.36628939244764741</v>
      </c>
      <c r="H136">
        <v>3.7488444410991598E-2</v>
      </c>
      <c r="I136">
        <v>0</v>
      </c>
      <c r="J136">
        <v>0.97197429216808617</v>
      </c>
      <c r="K136">
        <v>2.6345632969178071E-3</v>
      </c>
      <c r="L136">
        <v>4.2843276778261599</v>
      </c>
      <c r="M136">
        <v>-21.325664871428391</v>
      </c>
      <c r="N136">
        <v>13.35694882113777</v>
      </c>
    </row>
    <row r="137" spans="1:14" x14ac:dyDescent="0.2">
      <c r="A137">
        <v>235</v>
      </c>
      <c r="B137">
        <v>37.049999999999997</v>
      </c>
      <c r="C137">
        <v>271.39999999999998</v>
      </c>
      <c r="D137" s="1">
        <v>45960</v>
      </c>
      <c r="E137" s="1">
        <v>45982</v>
      </c>
      <c r="F137">
        <v>6.0274000000000001E-2</v>
      </c>
      <c r="G137">
        <v>0.28587200140249958</v>
      </c>
      <c r="H137">
        <v>3.7488444410991598E-2</v>
      </c>
      <c r="I137">
        <v>0</v>
      </c>
      <c r="J137">
        <v>0.98296157183974464</v>
      </c>
      <c r="K137">
        <v>2.217630976010894E-3</v>
      </c>
      <c r="L137">
        <v>2.814560587009213</v>
      </c>
      <c r="M137">
        <v>-15.28661522034149</v>
      </c>
      <c r="N137">
        <v>13.84649109633925</v>
      </c>
    </row>
    <row r="138" spans="1:14" x14ac:dyDescent="0.2">
      <c r="A138">
        <v>240</v>
      </c>
      <c r="B138">
        <v>32.4</v>
      </c>
      <c r="C138">
        <v>271.39999999999998</v>
      </c>
      <c r="D138" s="1">
        <v>45960</v>
      </c>
      <c r="E138" s="1">
        <v>45982</v>
      </c>
      <c r="F138">
        <v>6.0274000000000001E-2</v>
      </c>
      <c r="G138">
        <v>0.31802462593417741</v>
      </c>
      <c r="H138">
        <v>3.7488444410991598E-2</v>
      </c>
      <c r="I138">
        <v>0</v>
      </c>
      <c r="J138">
        <v>0.94978356319855228</v>
      </c>
      <c r="K138">
        <v>4.8839223100465524E-3</v>
      </c>
      <c r="L138">
        <v>6.8957133165620492</v>
      </c>
      <c r="M138">
        <v>-26.64079660216937</v>
      </c>
      <c r="N138">
        <v>13.584027248283491</v>
      </c>
    </row>
    <row r="139" spans="1:14" x14ac:dyDescent="0.2">
      <c r="A139">
        <v>250</v>
      </c>
      <c r="B139">
        <v>23.1</v>
      </c>
      <c r="C139">
        <v>271.39999999999998</v>
      </c>
      <c r="D139" s="1">
        <v>45960</v>
      </c>
      <c r="E139" s="1">
        <v>45982</v>
      </c>
      <c r="F139">
        <v>6.0274000000000001E-2</v>
      </c>
      <c r="G139">
        <v>0.29511157961631768</v>
      </c>
      <c r="H139">
        <v>3.7488444410991598E-2</v>
      </c>
      <c r="I139">
        <v>0</v>
      </c>
      <c r="J139">
        <v>0.88512985136470901</v>
      </c>
      <c r="K139">
        <v>9.8632696214978662E-3</v>
      </c>
      <c r="L139">
        <v>12.922806940736329</v>
      </c>
      <c r="M139">
        <v>-39.775761565617557</v>
      </c>
      <c r="N139">
        <v>13.086946541411571</v>
      </c>
    </row>
    <row r="140" spans="1:14" x14ac:dyDescent="0.2">
      <c r="A140">
        <v>260</v>
      </c>
      <c r="B140">
        <v>14.75</v>
      </c>
      <c r="C140">
        <v>271.39999999999998</v>
      </c>
      <c r="D140" s="1">
        <v>45960</v>
      </c>
      <c r="E140" s="1">
        <v>45982</v>
      </c>
      <c r="F140">
        <v>6.0274000000000001E-2</v>
      </c>
      <c r="G140">
        <v>0.27825031645387871</v>
      </c>
      <c r="H140">
        <v>3.7488444410991598E-2</v>
      </c>
      <c r="I140">
        <v>0</v>
      </c>
      <c r="J140">
        <v>0.75659965270785157</v>
      </c>
      <c r="K140">
        <v>1.6896210916942919E-2</v>
      </c>
      <c r="L140">
        <v>20.872510566100729</v>
      </c>
      <c r="M140">
        <v>-55.323140823872968</v>
      </c>
      <c r="N140">
        <v>11.48769071862646</v>
      </c>
    </row>
    <row r="141" spans="1:14" x14ac:dyDescent="0.2">
      <c r="A141">
        <v>265</v>
      </c>
      <c r="B141">
        <v>11.25</v>
      </c>
      <c r="C141">
        <v>271.39999999999998</v>
      </c>
      <c r="D141" s="1">
        <v>45960</v>
      </c>
      <c r="E141" s="1">
        <v>45982</v>
      </c>
      <c r="F141">
        <v>6.0274000000000001E-2</v>
      </c>
      <c r="G141">
        <v>0.27513893054342181</v>
      </c>
      <c r="H141">
        <v>3.7488444410991598E-2</v>
      </c>
      <c r="I141">
        <v>0</v>
      </c>
      <c r="J141">
        <v>0.66294357182196051</v>
      </c>
      <c r="K141">
        <v>1.9919814864462339E-2</v>
      </c>
      <c r="L141">
        <v>24.332517423818292</v>
      </c>
      <c r="M141">
        <v>-61.859857248729909</v>
      </c>
      <c r="N141">
        <v>10.16658949414634</v>
      </c>
    </row>
    <row r="142" spans="1:14" x14ac:dyDescent="0.2">
      <c r="A142">
        <v>210</v>
      </c>
      <c r="B142">
        <v>61.9</v>
      </c>
      <c r="C142">
        <v>271.39999999999998</v>
      </c>
      <c r="D142" s="1">
        <v>45981</v>
      </c>
      <c r="E142" s="1">
        <v>45982</v>
      </c>
      <c r="F142">
        <v>2.7397260273972599E-3</v>
      </c>
      <c r="G142">
        <v>0.18229093699999999</v>
      </c>
      <c r="H142">
        <v>3.7488444410991598E-2</v>
      </c>
      <c r="I142">
        <v>0</v>
      </c>
      <c r="J142">
        <v>1</v>
      </c>
      <c r="K142">
        <v>1.253914370550096E-158</v>
      </c>
      <c r="L142">
        <v>4.6127485300429121E-157</v>
      </c>
      <c r="M142">
        <v>-7.871764791042783</v>
      </c>
      <c r="N142">
        <v>0.5752833764754981</v>
      </c>
    </row>
    <row r="143" spans="1:14" x14ac:dyDescent="0.2">
      <c r="A143">
        <v>215</v>
      </c>
      <c r="B143">
        <v>57.92</v>
      </c>
      <c r="C143">
        <v>271.39999999999998</v>
      </c>
      <c r="D143" s="1">
        <v>45981</v>
      </c>
      <c r="E143" s="1">
        <v>45982</v>
      </c>
      <c r="F143">
        <v>2.7397260273972599E-3</v>
      </c>
      <c r="G143">
        <v>0.62508470799999616</v>
      </c>
      <c r="H143">
        <v>3.7488444410991598E-2</v>
      </c>
      <c r="I143">
        <v>0</v>
      </c>
      <c r="J143">
        <v>0.99999999999953171</v>
      </c>
      <c r="K143">
        <v>3.8365060893527978E-13</v>
      </c>
      <c r="L143">
        <v>4.839512194802475E-11</v>
      </c>
      <c r="M143">
        <v>-8.0591877677741195</v>
      </c>
      <c r="N143">
        <v>0.58898059972456507</v>
      </c>
    </row>
    <row r="144" spans="1:14" x14ac:dyDescent="0.2">
      <c r="A144">
        <v>220</v>
      </c>
      <c r="B144">
        <v>52.01</v>
      </c>
      <c r="C144">
        <v>271.39999999999998</v>
      </c>
      <c r="D144" s="1">
        <v>45981</v>
      </c>
      <c r="E144" s="1">
        <v>45982</v>
      </c>
      <c r="F144">
        <v>2.7397260273972599E-3</v>
      </c>
      <c r="G144">
        <v>0.37479036199999999</v>
      </c>
      <c r="H144">
        <v>3.7488444410991598E-2</v>
      </c>
      <c r="I144">
        <v>0</v>
      </c>
      <c r="J144">
        <v>1</v>
      </c>
      <c r="K144">
        <v>8.4983199194964388E-27</v>
      </c>
      <c r="L144">
        <v>6.4275921614101472E-25</v>
      </c>
      <c r="M144">
        <v>-8.2466107334733927</v>
      </c>
      <c r="N144">
        <v>0.60267782297433137</v>
      </c>
    </row>
    <row r="145" spans="1:14" x14ac:dyDescent="0.2">
      <c r="A145">
        <v>225</v>
      </c>
      <c r="B145">
        <v>46.75</v>
      </c>
      <c r="C145">
        <v>271.39999999999998</v>
      </c>
      <c r="D145" s="1">
        <v>45981</v>
      </c>
      <c r="E145" s="1">
        <v>45982</v>
      </c>
      <c r="F145">
        <v>2.7397260273972599E-3</v>
      </c>
      <c r="G145">
        <v>0.1102434071208743</v>
      </c>
      <c r="H145">
        <v>3.7488444410991598E-2</v>
      </c>
      <c r="I145">
        <v>0</v>
      </c>
      <c r="J145">
        <v>1</v>
      </c>
      <c r="K145">
        <v>7.2753200157487051E-231</v>
      </c>
      <c r="L145">
        <v>1.618570237230669E-229</v>
      </c>
      <c r="M145">
        <v>-8.4340337046886962</v>
      </c>
      <c r="N145">
        <v>0.61637504622374806</v>
      </c>
    </row>
    <row r="146" spans="1:14" x14ac:dyDescent="0.2">
      <c r="A146">
        <v>230</v>
      </c>
      <c r="B146">
        <v>42.19</v>
      </c>
      <c r="C146">
        <v>271.39999999999998</v>
      </c>
      <c r="D146" s="1">
        <v>45981</v>
      </c>
      <c r="E146" s="1">
        <v>45982</v>
      </c>
      <c r="F146">
        <v>2.7397260273972599E-3</v>
      </c>
      <c r="G146">
        <v>0.35811785600000001</v>
      </c>
      <c r="H146">
        <v>3.7488444410991598E-2</v>
      </c>
      <c r="I146">
        <v>0</v>
      </c>
      <c r="J146">
        <v>1</v>
      </c>
      <c r="K146">
        <v>8.072879213037279E-19</v>
      </c>
      <c r="L146">
        <v>5.8341991889291843E-17</v>
      </c>
      <c r="M146">
        <v>-8.621456675904005</v>
      </c>
      <c r="N146">
        <v>0.63007226947316464</v>
      </c>
    </row>
    <row r="147" spans="1:14" x14ac:dyDescent="0.2">
      <c r="A147">
        <v>235</v>
      </c>
      <c r="B147">
        <v>37.049999999999997</v>
      </c>
      <c r="C147">
        <v>271.39999999999998</v>
      </c>
      <c r="D147" s="1">
        <v>45981</v>
      </c>
      <c r="E147" s="1">
        <v>45982</v>
      </c>
      <c r="F147">
        <v>2.7397260273972599E-3</v>
      </c>
      <c r="G147">
        <v>0.27203774800000002</v>
      </c>
      <c r="H147">
        <v>3.7488444410991598E-2</v>
      </c>
      <c r="I147">
        <v>0</v>
      </c>
      <c r="J147">
        <v>1</v>
      </c>
      <c r="K147">
        <v>5.496127219012277E-24</v>
      </c>
      <c r="L147">
        <v>3.0172602406483069E-22</v>
      </c>
      <c r="M147">
        <v>-8.8088796471193032</v>
      </c>
      <c r="N147">
        <v>0.64376949272258133</v>
      </c>
    </row>
    <row r="148" spans="1:14" x14ac:dyDescent="0.2">
      <c r="A148">
        <v>240</v>
      </c>
      <c r="B148">
        <v>32.4</v>
      </c>
      <c r="C148">
        <v>271.39999999999998</v>
      </c>
      <c r="D148" s="1">
        <v>45981</v>
      </c>
      <c r="E148" s="1">
        <v>45982</v>
      </c>
      <c r="F148">
        <v>2.7397260273972599E-3</v>
      </c>
      <c r="G148">
        <v>1.752938768833693</v>
      </c>
      <c r="H148">
        <v>3.7488444410991598E-2</v>
      </c>
      <c r="I148">
        <v>0</v>
      </c>
      <c r="J148">
        <v>0.91728811861967752</v>
      </c>
      <c r="K148">
        <v>6.1221394515047229E-3</v>
      </c>
      <c r="L148">
        <v>2.1656924685514309</v>
      </c>
      <c r="M148">
        <v>-700.9477452742218</v>
      </c>
      <c r="N148">
        <v>0.59329313806404316</v>
      </c>
    </row>
    <row r="149" spans="1:14" x14ac:dyDescent="0.2">
      <c r="A149">
        <v>250</v>
      </c>
      <c r="B149">
        <v>23.1</v>
      </c>
      <c r="C149">
        <v>271.39999999999998</v>
      </c>
      <c r="D149" s="1">
        <v>45981</v>
      </c>
      <c r="E149" s="1">
        <v>45982</v>
      </c>
      <c r="F149">
        <v>2.7397260273972599E-3</v>
      </c>
      <c r="G149">
        <v>1.5375834854694379</v>
      </c>
      <c r="H149">
        <v>3.7488444410991598E-2</v>
      </c>
      <c r="I149">
        <v>0</v>
      </c>
      <c r="J149">
        <v>0.8558920556917724</v>
      </c>
      <c r="K149">
        <v>1.039153303773287E-2</v>
      </c>
      <c r="L149">
        <v>3.2243720706963379</v>
      </c>
      <c r="M149">
        <v>-912.62995165483915</v>
      </c>
      <c r="N149">
        <v>0.57312083264178348</v>
      </c>
    </row>
    <row r="150" spans="1:14" x14ac:dyDescent="0.2">
      <c r="A150">
        <v>260</v>
      </c>
      <c r="B150">
        <v>14.75</v>
      </c>
      <c r="C150">
        <v>271.39999999999998</v>
      </c>
      <c r="D150" s="1">
        <v>45981</v>
      </c>
      <c r="E150" s="1">
        <v>45982</v>
      </c>
      <c r="F150">
        <v>2.7397260273972599E-3</v>
      </c>
      <c r="G150">
        <v>1.3938557202263031</v>
      </c>
      <c r="H150">
        <v>3.7488444410991598E-2</v>
      </c>
      <c r="I150">
        <v>0</v>
      </c>
      <c r="J150">
        <v>0.73436362707670511</v>
      </c>
      <c r="K150">
        <v>1.6562143758935419E-2</v>
      </c>
      <c r="L150">
        <v>4.6586619107326337</v>
      </c>
      <c r="M150">
        <v>-1191.982944057658</v>
      </c>
      <c r="N150">
        <v>0.50563366681812305</v>
      </c>
    </row>
    <row r="151" spans="1:14" x14ac:dyDescent="0.2">
      <c r="A151">
        <v>265</v>
      </c>
      <c r="B151">
        <v>11.25</v>
      </c>
      <c r="C151">
        <v>271.39999999999998</v>
      </c>
      <c r="D151" s="1">
        <v>45981</v>
      </c>
      <c r="E151" s="1">
        <v>45982</v>
      </c>
      <c r="F151">
        <v>2.7397260273972599E-3</v>
      </c>
      <c r="G151">
        <v>1.358951274042413</v>
      </c>
      <c r="H151">
        <v>3.7488444410991598E-2</v>
      </c>
      <c r="I151">
        <v>0</v>
      </c>
      <c r="J151">
        <v>0.64524081219776674</v>
      </c>
      <c r="K151">
        <v>1.9280209413554541E-2</v>
      </c>
      <c r="L151">
        <v>5.2874034983988238</v>
      </c>
      <c r="M151">
        <v>-1317.4647487666459</v>
      </c>
      <c r="N151">
        <v>0.44895440117921792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C417-70A6-1F48-9B28-CB9882C954A7}">
  <dimension ref="A1:N53"/>
  <sheetViews>
    <sheetView showGridLines="0" zoomScale="130" zoomScaleNormal="130" workbookViewId="0">
      <selection activeCell="L10" sqref="L10"/>
    </sheetView>
  </sheetViews>
  <sheetFormatPr baseColWidth="10" defaultRowHeight="15" x14ac:dyDescent="0.2"/>
  <sheetData>
    <row r="1" spans="1:1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2"/>
      <c r="B2" s="3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/>
      <c r="B3" s="4" t="s">
        <v>14</v>
      </c>
      <c r="C3" s="5">
        <v>6</v>
      </c>
      <c r="D3" s="5">
        <v>5</v>
      </c>
      <c r="E3" s="5">
        <v>4</v>
      </c>
      <c r="F3" s="5">
        <v>3</v>
      </c>
      <c r="G3" s="5">
        <v>2</v>
      </c>
      <c r="H3" s="5">
        <v>1</v>
      </c>
      <c r="I3" s="5">
        <v>1E-4</v>
      </c>
      <c r="J3" s="2"/>
      <c r="K3" s="2"/>
      <c r="L3" s="2"/>
      <c r="M3" s="2"/>
      <c r="N3" s="2"/>
    </row>
    <row r="4" spans="1:14" x14ac:dyDescent="0.2">
      <c r="A4" s="2"/>
      <c r="B4" s="6" t="s">
        <v>15</v>
      </c>
      <c r="C4" s="7">
        <v>0</v>
      </c>
      <c r="D4" s="7">
        <v>1</v>
      </c>
      <c r="E4" s="7">
        <v>2</v>
      </c>
      <c r="F4" s="7">
        <v>3</v>
      </c>
      <c r="G4" s="7">
        <v>4</v>
      </c>
      <c r="H4" s="7">
        <v>5</v>
      </c>
      <c r="I4" s="7">
        <v>6</v>
      </c>
      <c r="J4" s="2"/>
      <c r="K4" s="2"/>
      <c r="L4" s="2"/>
      <c r="M4" s="2"/>
      <c r="N4" s="2"/>
    </row>
    <row r="5" spans="1:14" x14ac:dyDescent="0.2">
      <c r="A5" s="2"/>
      <c r="B5" s="8" t="s">
        <v>16</v>
      </c>
      <c r="C5" s="9">
        <v>80</v>
      </c>
      <c r="D5" s="9">
        <v>90</v>
      </c>
      <c r="E5" s="9">
        <v>95</v>
      </c>
      <c r="F5" s="9">
        <v>100</v>
      </c>
      <c r="G5" s="9">
        <v>110</v>
      </c>
      <c r="H5" s="9">
        <v>115</v>
      </c>
      <c r="I5" s="9">
        <v>131</v>
      </c>
      <c r="J5" s="2"/>
      <c r="K5" s="2"/>
      <c r="L5" s="2"/>
      <c r="M5" s="2"/>
      <c r="N5" s="2"/>
    </row>
    <row r="6" spans="1:14" x14ac:dyDescent="0.2">
      <c r="A6" s="2"/>
      <c r="B6" s="8" t="s">
        <v>17</v>
      </c>
      <c r="C6" s="10">
        <v>0.5</v>
      </c>
      <c r="D6" s="11">
        <v>0.42</v>
      </c>
      <c r="E6" s="11">
        <v>0.33</v>
      </c>
      <c r="F6" s="11">
        <v>0.25</v>
      </c>
      <c r="G6" s="11">
        <v>0.17</v>
      </c>
      <c r="H6" s="11">
        <v>0.08</v>
      </c>
      <c r="I6" s="11">
        <v>0</v>
      </c>
      <c r="J6" s="2"/>
      <c r="K6" s="2"/>
      <c r="L6" s="2"/>
      <c r="M6" s="2"/>
      <c r="N6" s="2"/>
    </row>
    <row r="7" spans="1:14" x14ac:dyDescent="0.2">
      <c r="A7" s="2"/>
      <c r="B7" s="8" t="s">
        <v>18</v>
      </c>
      <c r="C7" s="12">
        <v>0.3</v>
      </c>
      <c r="D7" s="12">
        <v>0.3</v>
      </c>
      <c r="E7" s="12">
        <v>0.3</v>
      </c>
      <c r="F7" s="12">
        <v>0.3</v>
      </c>
      <c r="G7" s="12">
        <v>0.3</v>
      </c>
      <c r="H7" s="12">
        <v>0.3</v>
      </c>
      <c r="I7" s="12">
        <v>0.3</v>
      </c>
      <c r="J7" s="2"/>
      <c r="K7" s="2"/>
      <c r="L7" s="2"/>
      <c r="M7" s="2"/>
      <c r="N7" s="2"/>
    </row>
    <row r="8" spans="1:14" x14ac:dyDescent="0.2">
      <c r="A8" s="2"/>
      <c r="B8" s="8" t="s">
        <v>19</v>
      </c>
      <c r="C8" s="12">
        <v>0.05</v>
      </c>
      <c r="D8" s="12">
        <v>0.05</v>
      </c>
      <c r="E8" s="12">
        <v>0.05</v>
      </c>
      <c r="F8" s="12">
        <v>0.05</v>
      </c>
      <c r="G8" s="12">
        <v>0.05</v>
      </c>
      <c r="H8" s="12">
        <v>0.05</v>
      </c>
      <c r="I8" s="12">
        <v>0.05</v>
      </c>
      <c r="J8" s="2"/>
      <c r="K8" s="2"/>
      <c r="L8" s="2"/>
      <c r="M8" s="2"/>
      <c r="N8" s="2"/>
    </row>
    <row r="9" spans="1:14" x14ac:dyDescent="0.2">
      <c r="A9" s="2"/>
      <c r="B9" s="2"/>
      <c r="C9" s="13"/>
      <c r="D9" s="13"/>
      <c r="E9" s="13"/>
      <c r="F9" s="13"/>
      <c r="G9" s="13"/>
      <c r="H9" s="13"/>
      <c r="I9" s="2"/>
      <c r="J9" s="2"/>
      <c r="K9" s="2"/>
      <c r="L9" s="2"/>
      <c r="M9" s="2"/>
      <c r="N9" s="2"/>
    </row>
    <row r="10" spans="1:14" ht="64" x14ac:dyDescent="0.2">
      <c r="A10" s="2"/>
      <c r="B10" s="2"/>
      <c r="C10" s="2"/>
      <c r="D10" s="2"/>
      <c r="E10" s="2"/>
      <c r="F10" s="2"/>
      <c r="G10" s="2"/>
      <c r="H10" s="2"/>
      <c r="I10" s="14" t="s">
        <v>20</v>
      </c>
      <c r="J10" s="2"/>
      <c r="K10" s="2"/>
      <c r="L10" s="2"/>
      <c r="M10" s="2"/>
      <c r="N10" s="2"/>
    </row>
    <row r="11" spans="1:14" ht="32" x14ac:dyDescent="0.2">
      <c r="A11" s="2"/>
      <c r="B11" s="15" t="s">
        <v>21</v>
      </c>
      <c r="C11" s="16">
        <v>0</v>
      </c>
      <c r="D11" s="16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7" t="s">
        <v>22</v>
      </c>
      <c r="K11" s="18"/>
      <c r="L11" s="2"/>
      <c r="M11" s="2"/>
      <c r="N11" s="2"/>
    </row>
    <row r="12" spans="1:14" x14ac:dyDescent="0.2">
      <c r="A12" s="2"/>
      <c r="B12" s="19">
        <v>50</v>
      </c>
      <c r="C12" s="9">
        <v>31.28</v>
      </c>
      <c r="D12" s="9"/>
      <c r="E12" s="9"/>
      <c r="F12" s="9"/>
      <c r="G12" s="9"/>
      <c r="H12" s="9"/>
      <c r="I12" s="9">
        <v>-81</v>
      </c>
      <c r="J12" s="20">
        <v>1</v>
      </c>
      <c r="K12" s="18"/>
      <c r="L12" s="3" t="s">
        <v>23</v>
      </c>
      <c r="M12" s="3"/>
      <c r="N12" s="2"/>
    </row>
    <row r="13" spans="1:14" x14ac:dyDescent="0.2">
      <c r="A13" s="2"/>
      <c r="B13" s="19">
        <v>60</v>
      </c>
      <c r="C13" s="9">
        <v>21.93</v>
      </c>
      <c r="D13" s="9"/>
      <c r="E13" s="9"/>
      <c r="F13" s="9"/>
      <c r="G13" s="9"/>
      <c r="H13" s="9"/>
      <c r="I13" s="9">
        <v>-71</v>
      </c>
      <c r="J13" s="20">
        <v>1</v>
      </c>
      <c r="K13" s="18"/>
      <c r="L13" s="2"/>
      <c r="M13" s="2"/>
      <c r="N13" s="2"/>
    </row>
    <row r="14" spans="1:14" x14ac:dyDescent="0.2">
      <c r="A14" s="2"/>
      <c r="B14" s="19">
        <v>70</v>
      </c>
      <c r="C14" s="9">
        <v>13.79</v>
      </c>
      <c r="D14" s="9"/>
      <c r="E14" s="9"/>
      <c r="F14" s="9"/>
      <c r="G14" s="9"/>
      <c r="H14" s="9"/>
      <c r="I14" s="9">
        <v>-61</v>
      </c>
      <c r="J14" s="20">
        <v>1</v>
      </c>
      <c r="K14" s="18"/>
      <c r="L14" s="2" t="s">
        <v>24</v>
      </c>
      <c r="M14" s="21">
        <v>83.6</v>
      </c>
      <c r="N14" s="21"/>
    </row>
    <row r="15" spans="1:14" x14ac:dyDescent="0.2">
      <c r="A15" s="2"/>
      <c r="B15" s="19">
        <v>80</v>
      </c>
      <c r="C15" s="9">
        <v>7.71</v>
      </c>
      <c r="D15" s="9"/>
      <c r="E15" s="9"/>
      <c r="F15" s="9"/>
      <c r="G15" s="9"/>
      <c r="H15" s="9"/>
      <c r="I15" s="9">
        <v>-51</v>
      </c>
      <c r="J15" s="20">
        <v>1</v>
      </c>
      <c r="K15" s="18"/>
      <c r="L15" s="2" t="s">
        <v>25</v>
      </c>
      <c r="M15" s="21">
        <v>-1179</v>
      </c>
      <c r="N15" s="21">
        <v>-369</v>
      </c>
    </row>
    <row r="16" spans="1:14" x14ac:dyDescent="0.2">
      <c r="A16" s="2"/>
      <c r="B16" s="19">
        <v>90</v>
      </c>
      <c r="C16" s="9">
        <v>3.86</v>
      </c>
      <c r="D16" s="9"/>
      <c r="E16" s="9"/>
      <c r="F16" s="9"/>
      <c r="G16" s="9"/>
      <c r="H16" s="9"/>
      <c r="I16" s="9">
        <v>-41</v>
      </c>
      <c r="J16" s="20">
        <v>1</v>
      </c>
      <c r="K16" s="18"/>
      <c r="L16" s="2" t="s">
        <v>26</v>
      </c>
      <c r="M16" s="21">
        <v>810</v>
      </c>
      <c r="N16" s="21"/>
    </row>
    <row r="17" spans="1:14" x14ac:dyDescent="0.2">
      <c r="A17" s="2"/>
      <c r="B17" s="19">
        <v>100</v>
      </c>
      <c r="C17" s="9">
        <v>1.76</v>
      </c>
      <c r="D17" s="9"/>
      <c r="E17" s="9"/>
      <c r="F17" s="9"/>
      <c r="G17" s="9"/>
      <c r="H17" s="9"/>
      <c r="I17" s="9">
        <v>-31</v>
      </c>
      <c r="J17" s="20">
        <v>1</v>
      </c>
      <c r="K17" s="18"/>
      <c r="L17" s="3" t="s">
        <v>27</v>
      </c>
      <c r="M17" s="22">
        <v>-285.39999999999998</v>
      </c>
      <c r="N17" s="21"/>
    </row>
    <row r="18" spans="1:14" x14ac:dyDescent="0.2">
      <c r="A18" s="2"/>
      <c r="B18" s="19">
        <v>110</v>
      </c>
      <c r="C18" s="9">
        <v>0.74</v>
      </c>
      <c r="D18" s="9"/>
      <c r="E18" s="9"/>
      <c r="F18" s="9"/>
      <c r="G18" s="9"/>
      <c r="H18" s="9"/>
      <c r="I18" s="9">
        <v>-21</v>
      </c>
      <c r="J18" s="20">
        <v>1</v>
      </c>
      <c r="K18" s="18"/>
      <c r="L18" s="2"/>
      <c r="M18" s="2"/>
      <c r="N18" s="2"/>
    </row>
    <row r="19" spans="1:14" x14ac:dyDescent="0.2">
      <c r="A19" s="2"/>
      <c r="B19" s="19">
        <v>120</v>
      </c>
      <c r="C19" s="9">
        <v>0.3</v>
      </c>
      <c r="D19" s="9"/>
      <c r="E19" s="9"/>
      <c r="F19" s="9"/>
      <c r="G19" s="9"/>
      <c r="H19" s="9"/>
      <c r="I19" s="9">
        <v>-11</v>
      </c>
      <c r="J19" s="20">
        <v>1</v>
      </c>
      <c r="K19" s="18"/>
      <c r="L19" s="2"/>
      <c r="M19" s="2"/>
      <c r="N19" s="2"/>
    </row>
    <row r="20" spans="1:14" x14ac:dyDescent="0.2">
      <c r="A20" s="2"/>
      <c r="B20" s="19">
        <v>130</v>
      </c>
      <c r="C20" s="9">
        <v>0.11</v>
      </c>
      <c r="D20" s="9"/>
      <c r="E20" s="9"/>
      <c r="F20" s="9"/>
      <c r="G20" s="9"/>
      <c r="H20" s="9"/>
      <c r="I20" s="9">
        <v>-1</v>
      </c>
      <c r="J20" s="20">
        <v>1</v>
      </c>
      <c r="K20" s="18"/>
      <c r="L20" s="2"/>
      <c r="M20" s="2"/>
      <c r="N20" s="2"/>
    </row>
    <row r="21" spans="1:14" x14ac:dyDescent="0.2">
      <c r="A21" s="2"/>
      <c r="B21" s="19">
        <v>140</v>
      </c>
      <c r="C21" s="9">
        <v>0.04</v>
      </c>
      <c r="D21" s="9"/>
      <c r="E21" s="9"/>
      <c r="F21" s="9"/>
      <c r="G21" s="9"/>
      <c r="H21" s="9"/>
      <c r="I21" s="9" t="s">
        <v>28</v>
      </c>
      <c r="J21" s="20">
        <v>0</v>
      </c>
      <c r="K21" s="18"/>
      <c r="L21" s="2"/>
      <c r="M21" s="2"/>
      <c r="N21" s="2"/>
    </row>
    <row r="22" spans="1:14" x14ac:dyDescent="0.2">
      <c r="A22" s="2"/>
      <c r="B22" s="19">
        <v>150</v>
      </c>
      <c r="C22" s="9">
        <v>0.01</v>
      </c>
      <c r="D22" s="9"/>
      <c r="E22" s="9"/>
      <c r="F22" s="9"/>
      <c r="G22" s="9"/>
      <c r="H22" s="9"/>
      <c r="I22" s="9" t="s">
        <v>28</v>
      </c>
      <c r="J22" s="20">
        <v>0</v>
      </c>
      <c r="K22" s="18"/>
      <c r="L22" s="2"/>
      <c r="M22" s="2"/>
      <c r="N22" s="2"/>
    </row>
    <row r="23" spans="1:14" ht="48" x14ac:dyDescent="0.2">
      <c r="A23" s="2"/>
      <c r="B23" s="23" t="s">
        <v>29</v>
      </c>
      <c r="C23" s="24">
        <v>81.540000000000006</v>
      </c>
      <c r="D23" s="25"/>
      <c r="E23" s="25"/>
      <c r="F23" s="25"/>
      <c r="G23" s="25"/>
      <c r="H23" s="26"/>
      <c r="I23" s="27">
        <v>-369</v>
      </c>
      <c r="J23" s="28">
        <v>9</v>
      </c>
      <c r="K23" s="29" t="s">
        <v>30</v>
      </c>
      <c r="L23" s="2"/>
      <c r="M23" s="2"/>
      <c r="N23" s="2"/>
    </row>
    <row r="24" spans="1:14" x14ac:dyDescent="0.2">
      <c r="A24" s="2"/>
      <c r="B24" s="2"/>
      <c r="C24" s="21"/>
      <c r="D24" s="21"/>
      <c r="E24" s="21"/>
      <c r="F24" s="21"/>
      <c r="G24" s="21"/>
      <c r="H24" s="2"/>
      <c r="I24" s="2"/>
      <c r="J24" s="2"/>
      <c r="K24" s="2"/>
      <c r="L24" s="2"/>
      <c r="M24" s="2"/>
      <c r="N24" s="2"/>
    </row>
    <row r="25" spans="1:14" x14ac:dyDescent="0.2">
      <c r="A25" s="2"/>
      <c r="B25" s="3"/>
      <c r="C25" s="2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2"/>
      <c r="B26" s="3"/>
      <c r="C26" s="2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2" x14ac:dyDescent="0.2">
      <c r="A27" s="2"/>
      <c r="B27" s="30" t="s">
        <v>31</v>
      </c>
      <c r="C27" s="31">
        <v>0</v>
      </c>
      <c r="D27" s="31">
        <v>1</v>
      </c>
      <c r="E27" s="31">
        <v>2</v>
      </c>
      <c r="F27" s="31">
        <v>3</v>
      </c>
      <c r="G27" s="31">
        <v>4</v>
      </c>
      <c r="H27" s="31">
        <v>5</v>
      </c>
      <c r="I27" s="31">
        <v>6</v>
      </c>
      <c r="J27" s="17" t="s">
        <v>22</v>
      </c>
      <c r="K27" s="2"/>
      <c r="L27" s="2"/>
      <c r="M27" s="2"/>
      <c r="N27" s="2"/>
    </row>
    <row r="28" spans="1:14" x14ac:dyDescent="0.2">
      <c r="A28" s="2"/>
      <c r="B28" s="19">
        <v>50</v>
      </c>
      <c r="C28" s="32">
        <v>0.99</v>
      </c>
      <c r="D28" s="32">
        <v>1</v>
      </c>
      <c r="E28" s="32">
        <v>1</v>
      </c>
      <c r="F28" s="32">
        <v>1</v>
      </c>
      <c r="G28" s="32">
        <v>1</v>
      </c>
      <c r="H28" s="32">
        <v>1</v>
      </c>
      <c r="I28" s="32">
        <v>1</v>
      </c>
      <c r="J28" s="20">
        <v>1</v>
      </c>
      <c r="K28" s="2"/>
      <c r="L28" s="3" t="s">
        <v>32</v>
      </c>
      <c r="M28" s="3"/>
      <c r="N28" s="2"/>
    </row>
    <row r="29" spans="1:14" x14ac:dyDescent="0.2">
      <c r="A29" s="2"/>
      <c r="B29" s="19">
        <v>60</v>
      </c>
      <c r="C29" s="32">
        <v>0.94</v>
      </c>
      <c r="D29" s="32">
        <v>0.99</v>
      </c>
      <c r="E29" s="32">
        <v>1</v>
      </c>
      <c r="F29" s="32">
        <v>1</v>
      </c>
      <c r="G29" s="32">
        <v>1</v>
      </c>
      <c r="H29" s="32">
        <v>1</v>
      </c>
      <c r="I29" s="32">
        <v>1</v>
      </c>
      <c r="J29" s="20">
        <v>1</v>
      </c>
      <c r="K29" s="2"/>
      <c r="L29" s="2"/>
      <c r="M29" s="2"/>
      <c r="N29" s="2"/>
    </row>
    <row r="30" spans="1:14" x14ac:dyDescent="0.2">
      <c r="A30" s="2"/>
      <c r="B30" s="19">
        <v>70</v>
      </c>
      <c r="C30" s="32">
        <v>0.8</v>
      </c>
      <c r="D30" s="32">
        <v>0.93</v>
      </c>
      <c r="E30" s="32">
        <v>0.97</v>
      </c>
      <c r="F30" s="32">
        <v>0.99</v>
      </c>
      <c r="G30" s="32">
        <v>1</v>
      </c>
      <c r="H30" s="32">
        <v>1</v>
      </c>
      <c r="I30" s="32">
        <v>1</v>
      </c>
      <c r="J30" s="20">
        <v>1</v>
      </c>
      <c r="K30" s="2"/>
      <c r="L30" s="2" t="s">
        <v>24</v>
      </c>
      <c r="M30" s="21">
        <v>83.6</v>
      </c>
      <c r="N30" s="21"/>
    </row>
    <row r="31" spans="1:14" x14ac:dyDescent="0.2">
      <c r="A31" s="2"/>
      <c r="B31" s="19">
        <v>80</v>
      </c>
      <c r="C31" s="32">
        <v>0.59</v>
      </c>
      <c r="D31" s="32">
        <v>0.79</v>
      </c>
      <c r="E31" s="32">
        <v>0.88</v>
      </c>
      <c r="F31" s="32">
        <v>0.95</v>
      </c>
      <c r="G31" s="32">
        <v>1</v>
      </c>
      <c r="H31" s="32">
        <v>1</v>
      </c>
      <c r="I31" s="32">
        <v>1</v>
      </c>
      <c r="J31" s="20">
        <v>1</v>
      </c>
      <c r="K31" s="2"/>
      <c r="L31" s="2" t="s">
        <v>25</v>
      </c>
      <c r="M31" s="21">
        <v>-883.69</v>
      </c>
      <c r="N31" s="21"/>
    </row>
    <row r="32" spans="1:14" x14ac:dyDescent="0.2">
      <c r="A32" s="2"/>
      <c r="B32" s="19">
        <v>90</v>
      </c>
      <c r="C32" s="32">
        <v>0.37</v>
      </c>
      <c r="D32" s="32">
        <v>0.57999999999999996</v>
      </c>
      <c r="E32" s="32">
        <v>0.69</v>
      </c>
      <c r="F32" s="32">
        <v>0.81</v>
      </c>
      <c r="G32" s="32">
        <v>0.96</v>
      </c>
      <c r="H32" s="32">
        <v>1</v>
      </c>
      <c r="I32" s="32">
        <v>1</v>
      </c>
      <c r="J32" s="20">
        <v>1</v>
      </c>
      <c r="K32" s="2"/>
      <c r="L32" s="2" t="s">
        <v>26</v>
      </c>
      <c r="M32" s="21">
        <v>810</v>
      </c>
      <c r="N32" s="21"/>
    </row>
    <row r="33" spans="1:14" x14ac:dyDescent="0.2">
      <c r="A33" s="2"/>
      <c r="B33" s="19">
        <v>100</v>
      </c>
      <c r="C33" s="32">
        <v>0.2</v>
      </c>
      <c r="D33" s="32">
        <v>0.37</v>
      </c>
      <c r="E33" s="32">
        <v>0.45</v>
      </c>
      <c r="F33" s="32">
        <v>0.56000000000000005</v>
      </c>
      <c r="G33" s="32">
        <v>0.82</v>
      </c>
      <c r="H33" s="32">
        <v>0.96</v>
      </c>
      <c r="I33" s="32">
        <v>1</v>
      </c>
      <c r="J33" s="20">
        <v>1</v>
      </c>
      <c r="K33" s="2"/>
      <c r="L33" s="3" t="s">
        <v>33</v>
      </c>
      <c r="M33" s="22">
        <v>9.91</v>
      </c>
      <c r="N33" s="21"/>
    </row>
    <row r="34" spans="1:14" x14ac:dyDescent="0.2">
      <c r="A34" s="2"/>
      <c r="B34" s="19">
        <v>110</v>
      </c>
      <c r="C34" s="32">
        <v>0.1</v>
      </c>
      <c r="D34" s="32">
        <v>0.2</v>
      </c>
      <c r="E34" s="32">
        <v>0.25</v>
      </c>
      <c r="F34" s="32">
        <v>0.32</v>
      </c>
      <c r="G34" s="32">
        <v>0.55000000000000004</v>
      </c>
      <c r="H34" s="32">
        <v>0.73</v>
      </c>
      <c r="I34" s="32">
        <v>1</v>
      </c>
      <c r="J34" s="20">
        <v>1</v>
      </c>
      <c r="K34" s="2"/>
      <c r="L34" s="2"/>
      <c r="M34" s="2"/>
      <c r="N34" s="2"/>
    </row>
    <row r="35" spans="1:14" x14ac:dyDescent="0.2">
      <c r="A35" s="2"/>
      <c r="B35" s="19">
        <v>120</v>
      </c>
      <c r="C35" s="32">
        <v>0.05</v>
      </c>
      <c r="D35" s="32">
        <v>0.1</v>
      </c>
      <c r="E35" s="32">
        <v>0.12</v>
      </c>
      <c r="F35" s="32">
        <v>0.15</v>
      </c>
      <c r="G35" s="32">
        <v>0.28000000000000003</v>
      </c>
      <c r="H35" s="32">
        <v>0.34</v>
      </c>
      <c r="I35" s="32">
        <v>1</v>
      </c>
      <c r="J35" s="20">
        <v>1</v>
      </c>
      <c r="K35" s="2"/>
      <c r="L35" s="2"/>
      <c r="M35" s="2"/>
      <c r="N35" s="2"/>
    </row>
    <row r="36" spans="1:14" x14ac:dyDescent="0.2">
      <c r="A36" s="2"/>
      <c r="B36" s="19">
        <v>130</v>
      </c>
      <c r="C36" s="32">
        <v>0.02</v>
      </c>
      <c r="D36" s="32">
        <v>0.05</v>
      </c>
      <c r="E36" s="32">
        <v>0.05</v>
      </c>
      <c r="F36" s="32">
        <v>0.06</v>
      </c>
      <c r="G36" s="32">
        <v>0.11</v>
      </c>
      <c r="H36" s="32">
        <v>0.09</v>
      </c>
      <c r="I36" s="32">
        <v>1</v>
      </c>
      <c r="J36" s="20">
        <v>1</v>
      </c>
      <c r="K36" s="2"/>
      <c r="L36" s="2"/>
      <c r="M36" s="2"/>
      <c r="N36" s="2"/>
    </row>
    <row r="37" spans="1:14" x14ac:dyDescent="0.2">
      <c r="A37" s="2"/>
      <c r="B37" s="19">
        <v>140</v>
      </c>
      <c r="C37" s="32">
        <v>0.01</v>
      </c>
      <c r="D37" s="32">
        <v>0.02</v>
      </c>
      <c r="E37" s="32">
        <v>0.02</v>
      </c>
      <c r="F37" s="32">
        <v>0.02</v>
      </c>
      <c r="G37" s="32">
        <v>0.03</v>
      </c>
      <c r="H37" s="32">
        <v>0.01</v>
      </c>
      <c r="I37" s="32" t="s">
        <v>34</v>
      </c>
      <c r="J37" s="20">
        <v>0</v>
      </c>
      <c r="K37" s="2"/>
      <c r="L37" s="2"/>
      <c r="M37" s="2"/>
      <c r="N37" s="2"/>
    </row>
    <row r="38" spans="1:14" x14ac:dyDescent="0.2">
      <c r="A38" s="2"/>
      <c r="B38" s="19">
        <v>150</v>
      </c>
      <c r="C38" s="32">
        <v>0</v>
      </c>
      <c r="D38" s="32">
        <v>0.01</v>
      </c>
      <c r="E38" s="32">
        <v>0.01</v>
      </c>
      <c r="F38" s="32">
        <v>0.01</v>
      </c>
      <c r="G38" s="32">
        <v>0.01</v>
      </c>
      <c r="H38" s="32">
        <v>0</v>
      </c>
      <c r="I38" s="32" t="s">
        <v>34</v>
      </c>
      <c r="J38" s="20">
        <v>0</v>
      </c>
      <c r="K38" s="2"/>
      <c r="L38" s="2"/>
      <c r="M38" s="2"/>
      <c r="N38" s="2"/>
    </row>
    <row r="39" spans="1:14" ht="48" x14ac:dyDescent="0.2">
      <c r="A39" s="2"/>
      <c r="B39" s="33" t="s">
        <v>35</v>
      </c>
      <c r="C39" s="34">
        <v>4.08</v>
      </c>
      <c r="D39" s="34">
        <v>5.04</v>
      </c>
      <c r="E39" s="34">
        <v>5.45</v>
      </c>
      <c r="F39" s="34">
        <v>5.85</v>
      </c>
      <c r="G39" s="34">
        <v>6.76</v>
      </c>
      <c r="H39" s="34">
        <v>7.13</v>
      </c>
      <c r="I39" s="34">
        <v>9</v>
      </c>
      <c r="J39" s="28">
        <v>9</v>
      </c>
      <c r="K39" s="35" t="s">
        <v>30</v>
      </c>
      <c r="L39" s="2"/>
      <c r="M39" s="2"/>
      <c r="N39" s="2"/>
    </row>
    <row r="40" spans="1:14" x14ac:dyDescent="0.2">
      <c r="A40" s="2"/>
      <c r="B40" s="36" t="s">
        <v>36</v>
      </c>
      <c r="C40" s="37">
        <v>4.08</v>
      </c>
      <c r="D40" s="37">
        <v>0.96</v>
      </c>
      <c r="E40" s="37">
        <v>0.41</v>
      </c>
      <c r="F40" s="37">
        <v>0.4</v>
      </c>
      <c r="G40" s="37">
        <v>0.9</v>
      </c>
      <c r="H40" s="37">
        <v>0.38</v>
      </c>
      <c r="I40" s="37">
        <v>1.87</v>
      </c>
      <c r="J40" s="38"/>
      <c r="K40" s="2"/>
      <c r="L40" s="2"/>
      <c r="M40" s="2"/>
      <c r="N40" s="2"/>
    </row>
    <row r="41" spans="1:14" x14ac:dyDescent="0.2">
      <c r="A41" s="2"/>
      <c r="B41" s="39" t="s">
        <v>37</v>
      </c>
      <c r="C41" s="9">
        <v>326.27999999999997</v>
      </c>
      <c r="D41" s="9">
        <v>86.2</v>
      </c>
      <c r="E41" s="9">
        <v>39.35</v>
      </c>
      <c r="F41" s="9">
        <v>40.380000000000003</v>
      </c>
      <c r="G41" s="9">
        <v>99.37</v>
      </c>
      <c r="H41" s="9">
        <v>43.38</v>
      </c>
      <c r="I41" s="9">
        <v>244.33</v>
      </c>
      <c r="J41" s="40"/>
      <c r="K41" s="2"/>
      <c r="L41" s="2"/>
      <c r="M41" s="2"/>
      <c r="N41" s="2"/>
    </row>
    <row r="42" spans="1:14" x14ac:dyDescent="0.2">
      <c r="A42" s="2"/>
      <c r="B42" s="39" t="s">
        <v>38</v>
      </c>
      <c r="C42" s="9">
        <v>1.63</v>
      </c>
      <c r="D42" s="9">
        <v>0.43</v>
      </c>
      <c r="E42" s="9">
        <v>0.2</v>
      </c>
      <c r="F42" s="9">
        <v>0.2</v>
      </c>
      <c r="G42" s="9">
        <v>0.5</v>
      </c>
      <c r="H42" s="9">
        <v>0.22</v>
      </c>
      <c r="I42" s="9">
        <v>1.22</v>
      </c>
      <c r="J42" s="40"/>
      <c r="K42" s="2"/>
      <c r="L42" s="2"/>
      <c r="M42" s="2"/>
      <c r="N42" s="2"/>
    </row>
    <row r="43" spans="1:14" x14ac:dyDescent="0.2">
      <c r="A43" s="2"/>
      <c r="B43" s="3" t="s">
        <v>39</v>
      </c>
      <c r="C43" s="22">
        <v>327.91</v>
      </c>
      <c r="D43" s="22">
        <v>414.53</v>
      </c>
      <c r="E43" s="22">
        <v>454.08</v>
      </c>
      <c r="F43" s="22">
        <v>494.67</v>
      </c>
      <c r="G43" s="22">
        <v>594.54</v>
      </c>
      <c r="H43" s="22">
        <v>638.13</v>
      </c>
      <c r="I43" s="22">
        <v>883.69</v>
      </c>
      <c r="J43" s="3"/>
      <c r="K43" s="2"/>
      <c r="L43" s="2"/>
      <c r="M43" s="2"/>
      <c r="N43" s="2"/>
    </row>
    <row r="44" spans="1:1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 t="s">
        <v>40</v>
      </c>
      <c r="M48" s="3"/>
      <c r="N48" s="3"/>
    </row>
    <row r="49" spans="1:1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24</v>
      </c>
      <c r="M50" s="21"/>
      <c r="N50" s="2"/>
    </row>
    <row r="51" spans="1:1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">
        <v>25</v>
      </c>
      <c r="M51" s="21"/>
      <c r="N51" s="2"/>
    </row>
    <row r="52" spans="1:1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">
        <v>26</v>
      </c>
      <c r="M52" s="21"/>
      <c r="N52" s="2"/>
    </row>
    <row r="53" spans="1:1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 t="s">
        <v>41</v>
      </c>
      <c r="M53" s="22"/>
      <c r="N5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95AD-B68F-0B41-91C3-53B6B453050A}">
  <dimension ref="B1:V41"/>
  <sheetViews>
    <sheetView topLeftCell="K17" zoomScale="120" zoomScaleNormal="120" workbookViewId="0">
      <selection activeCell="U31" sqref="U31"/>
    </sheetView>
  </sheetViews>
  <sheetFormatPr baseColWidth="10" defaultRowHeight="15" x14ac:dyDescent="0.2"/>
  <cols>
    <col min="2" max="2" width="13.5" bestFit="1" customWidth="1"/>
    <col min="3" max="3" width="12.83203125" customWidth="1"/>
    <col min="4" max="14" width="12.33203125" bestFit="1" customWidth="1"/>
    <col min="15" max="15" width="12.6640625" bestFit="1" customWidth="1"/>
    <col min="16" max="17" width="12.33203125" bestFit="1" customWidth="1"/>
    <col min="20" max="20" width="22.6640625" bestFit="1" customWidth="1"/>
  </cols>
  <sheetData>
    <row r="1" spans="2:22" x14ac:dyDescent="0.2">
      <c r="C1" s="50">
        <v>45902</v>
      </c>
      <c r="D1" s="50">
        <v>45904</v>
      </c>
      <c r="E1" s="50">
        <v>45909</v>
      </c>
      <c r="F1" s="50">
        <v>45911</v>
      </c>
      <c r="G1" s="50">
        <v>45918</v>
      </c>
      <c r="H1" s="50">
        <v>45925</v>
      </c>
      <c r="I1" s="50">
        <v>45930</v>
      </c>
      <c r="J1" s="50">
        <v>45932</v>
      </c>
      <c r="K1" s="50">
        <v>45939</v>
      </c>
      <c r="L1" s="50">
        <v>45944</v>
      </c>
      <c r="M1" s="50">
        <v>45946</v>
      </c>
      <c r="N1" s="50">
        <v>45951</v>
      </c>
      <c r="O1" s="50">
        <v>45953</v>
      </c>
      <c r="P1" s="49">
        <v>45960</v>
      </c>
      <c r="Q1" s="49">
        <v>45981</v>
      </c>
    </row>
    <row r="2" spans="2:22" x14ac:dyDescent="0.2">
      <c r="C2" s="45">
        <v>0</v>
      </c>
      <c r="D2" s="45">
        <v>1</v>
      </c>
      <c r="E2" s="45">
        <v>2</v>
      </c>
      <c r="F2" s="45">
        <v>3</v>
      </c>
      <c r="G2" s="45">
        <v>4</v>
      </c>
      <c r="H2" s="45">
        <v>5</v>
      </c>
      <c r="I2" s="45">
        <v>6</v>
      </c>
      <c r="J2" s="45">
        <v>7</v>
      </c>
      <c r="K2" s="45">
        <v>8</v>
      </c>
      <c r="L2" s="45">
        <v>9</v>
      </c>
      <c r="M2" s="45">
        <v>10</v>
      </c>
      <c r="N2" s="45">
        <v>11</v>
      </c>
      <c r="O2" s="45">
        <v>12</v>
      </c>
      <c r="P2" s="45">
        <v>13</v>
      </c>
      <c r="Q2" s="45">
        <v>14</v>
      </c>
    </row>
    <row r="3" spans="2:22" x14ac:dyDescent="0.2">
      <c r="B3" s="45" t="s">
        <v>2</v>
      </c>
      <c r="C3">
        <v>229.72</v>
      </c>
      <c r="D3">
        <v>239.78</v>
      </c>
      <c r="E3">
        <v>234.35</v>
      </c>
      <c r="F3">
        <v>230.03</v>
      </c>
      <c r="G3">
        <v>237.88</v>
      </c>
      <c r="H3">
        <v>256.87</v>
      </c>
      <c r="I3">
        <v>254.63</v>
      </c>
      <c r="J3">
        <v>257.13</v>
      </c>
      <c r="K3">
        <v>254.04</v>
      </c>
      <c r="L3">
        <v>247.77</v>
      </c>
      <c r="M3">
        <v>247.45</v>
      </c>
      <c r="N3">
        <v>262.77</v>
      </c>
      <c r="O3">
        <v>259.58</v>
      </c>
      <c r="P3">
        <v>271.39999999999998</v>
      </c>
      <c r="Q3">
        <v>271.39999999999998</v>
      </c>
    </row>
    <row r="4" spans="2:22" x14ac:dyDescent="0.2">
      <c r="B4" s="45" t="s">
        <v>17</v>
      </c>
      <c r="C4">
        <v>0.21917800000000001</v>
      </c>
      <c r="D4">
        <v>0.213699</v>
      </c>
      <c r="E4">
        <v>0.2</v>
      </c>
      <c r="F4">
        <v>0.194521</v>
      </c>
      <c r="G4">
        <v>0.175342</v>
      </c>
      <c r="H4">
        <v>0.156164</v>
      </c>
      <c r="I4">
        <v>0.14246600000000001</v>
      </c>
      <c r="J4">
        <v>0.136986</v>
      </c>
      <c r="K4">
        <v>0.117808</v>
      </c>
      <c r="L4">
        <v>0.10410999999999999</v>
      </c>
      <c r="M4">
        <v>9.8629999999999995E-2</v>
      </c>
      <c r="N4">
        <v>8.4931999999999994E-2</v>
      </c>
      <c r="O4">
        <v>7.9451999999999995E-2</v>
      </c>
      <c r="P4">
        <v>6.0274000000000001E-2</v>
      </c>
      <c r="Q4">
        <v>2.7397300000000001E-3</v>
      </c>
    </row>
    <row r="5" spans="2:22" x14ac:dyDescent="0.2">
      <c r="B5" s="45" t="s">
        <v>19</v>
      </c>
      <c r="C5" s="65">
        <f>LN(1+0.0382)</f>
        <v>3.7488444410991605E-2</v>
      </c>
      <c r="D5" s="65">
        <f t="shared" ref="D5:Q5" si="0">LN(1+0.0382)</f>
        <v>3.7488444410991605E-2</v>
      </c>
      <c r="E5" s="65">
        <f t="shared" si="0"/>
        <v>3.7488444410991605E-2</v>
      </c>
      <c r="F5" s="65">
        <f t="shared" si="0"/>
        <v>3.7488444410991605E-2</v>
      </c>
      <c r="G5" s="65">
        <f t="shared" si="0"/>
        <v>3.7488444410991605E-2</v>
      </c>
      <c r="H5" s="65">
        <f t="shared" si="0"/>
        <v>3.7488444410991605E-2</v>
      </c>
      <c r="I5" s="65">
        <f t="shared" si="0"/>
        <v>3.7488444410991605E-2</v>
      </c>
      <c r="J5" s="65">
        <f t="shared" si="0"/>
        <v>3.7488444410991605E-2</v>
      </c>
      <c r="K5" s="65">
        <f t="shared" si="0"/>
        <v>3.7488444410991605E-2</v>
      </c>
      <c r="L5" s="65">
        <f t="shared" si="0"/>
        <v>3.7488444410991605E-2</v>
      </c>
      <c r="M5" s="65">
        <f t="shared" si="0"/>
        <v>3.7488444410991605E-2</v>
      </c>
      <c r="N5" s="65">
        <f t="shared" si="0"/>
        <v>3.7488444410991605E-2</v>
      </c>
      <c r="O5" s="65">
        <f t="shared" si="0"/>
        <v>3.7488444410991605E-2</v>
      </c>
      <c r="P5" s="65">
        <f t="shared" si="0"/>
        <v>3.7488444410991605E-2</v>
      </c>
      <c r="Q5" s="65">
        <f t="shared" si="0"/>
        <v>3.7488444410991605E-2</v>
      </c>
    </row>
    <row r="6" spans="2:22" x14ac:dyDescent="0.2">
      <c r="B6" s="45"/>
    </row>
    <row r="7" spans="2:22" x14ac:dyDescent="0.2">
      <c r="B7" s="45"/>
    </row>
    <row r="9" spans="2:22" ht="32" x14ac:dyDescent="0.2">
      <c r="Q9" s="55" t="s">
        <v>44</v>
      </c>
    </row>
    <row r="10" spans="2:22" x14ac:dyDescent="0.2">
      <c r="B10" s="52"/>
      <c r="C10" s="53">
        <v>45902</v>
      </c>
      <c r="D10" s="53">
        <v>45904</v>
      </c>
      <c r="E10" s="53">
        <v>45909</v>
      </c>
      <c r="F10" s="53">
        <v>45911</v>
      </c>
      <c r="G10" s="53">
        <v>45918</v>
      </c>
      <c r="H10" s="53">
        <v>45925</v>
      </c>
      <c r="I10" s="53">
        <v>45930</v>
      </c>
      <c r="J10" s="53">
        <v>45932</v>
      </c>
      <c r="K10" s="53">
        <v>45939</v>
      </c>
      <c r="L10" s="53">
        <v>45944</v>
      </c>
      <c r="M10" s="53">
        <v>45946</v>
      </c>
      <c r="N10" s="53">
        <v>45951</v>
      </c>
      <c r="O10" s="53">
        <v>45953</v>
      </c>
      <c r="P10" s="54">
        <v>45960</v>
      </c>
      <c r="Q10" s="54">
        <v>45981</v>
      </c>
    </row>
    <row r="11" spans="2:22" ht="32" x14ac:dyDescent="0.2">
      <c r="B11" s="55" t="s">
        <v>43</v>
      </c>
      <c r="C11" s="62">
        <v>0</v>
      </c>
      <c r="D11" s="62">
        <v>1</v>
      </c>
      <c r="E11" s="62">
        <v>2</v>
      </c>
      <c r="F11" s="62">
        <v>3</v>
      </c>
      <c r="G11" s="62">
        <v>4</v>
      </c>
      <c r="H11" s="62">
        <v>5</v>
      </c>
      <c r="I11" s="62">
        <v>6</v>
      </c>
      <c r="J11" s="62">
        <v>7</v>
      </c>
      <c r="K11" s="62">
        <v>8</v>
      </c>
      <c r="L11" s="62">
        <v>9</v>
      </c>
      <c r="M11" s="62">
        <v>10</v>
      </c>
      <c r="N11" s="62">
        <v>11</v>
      </c>
      <c r="O11" s="62">
        <v>12</v>
      </c>
      <c r="P11" s="62">
        <v>13</v>
      </c>
      <c r="Q11" s="62">
        <v>14</v>
      </c>
      <c r="R11" s="63" t="s">
        <v>46</v>
      </c>
    </row>
    <row r="12" spans="2:22" x14ac:dyDescent="0.2">
      <c r="B12" s="57">
        <v>210</v>
      </c>
      <c r="C12" s="57">
        <v>24.85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8">
        <f>-MAX($Q$3-B12,0)</f>
        <v>-61.399999999999977</v>
      </c>
      <c r="R12" s="56">
        <f>IF($Q$3-B12&gt;=0,1,0)</f>
        <v>1</v>
      </c>
      <c r="T12" s="64" t="s">
        <v>23</v>
      </c>
    </row>
    <row r="13" spans="2:22" x14ac:dyDescent="0.2">
      <c r="B13" s="57">
        <v>215</v>
      </c>
      <c r="C13" s="57">
        <v>21.6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8">
        <f t="shared" ref="Q13:Q21" si="1">-MAX($Q$3-B13,0)</f>
        <v>-56.399999999999977</v>
      </c>
      <c r="R13" s="56">
        <f t="shared" ref="R13:R21" si="2">IF($Q$3-B13&gt;=0,1,0)</f>
        <v>1</v>
      </c>
    </row>
    <row r="14" spans="2:22" x14ac:dyDescent="0.2">
      <c r="B14" s="57">
        <v>220</v>
      </c>
      <c r="C14" s="57">
        <v>17.95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8">
        <f t="shared" si="1"/>
        <v>-51.399999999999977</v>
      </c>
      <c r="R14" s="56">
        <f t="shared" si="2"/>
        <v>1</v>
      </c>
      <c r="T14" t="s">
        <v>24</v>
      </c>
      <c r="U14" s="51">
        <f>C22*EXP(C5*C4)</f>
        <v>114.30535822359387</v>
      </c>
    </row>
    <row r="15" spans="2:22" x14ac:dyDescent="0.2">
      <c r="B15" s="57">
        <v>225</v>
      </c>
      <c r="C15" s="57">
        <v>14.75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8">
        <f t="shared" si="1"/>
        <v>-46.399999999999977</v>
      </c>
      <c r="R15" s="56">
        <f t="shared" si="2"/>
        <v>1</v>
      </c>
      <c r="T15" t="s">
        <v>25</v>
      </c>
      <c r="U15" s="48">
        <f>-R22*Q3</f>
        <v>-2714</v>
      </c>
      <c r="V15" s="51">
        <f>Q22</f>
        <v>-363.99999999999977</v>
      </c>
    </row>
    <row r="16" spans="2:22" x14ac:dyDescent="0.2">
      <c r="B16" s="57">
        <v>230</v>
      </c>
      <c r="C16" s="57">
        <v>11.65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8">
        <f t="shared" si="1"/>
        <v>-41.399999999999977</v>
      </c>
      <c r="R16" s="56">
        <f t="shared" si="2"/>
        <v>1</v>
      </c>
      <c r="T16" t="s">
        <v>26</v>
      </c>
      <c r="U16" s="48">
        <f>SUMPRODUCT(R12:R21,B12:B21)</f>
        <v>2350</v>
      </c>
    </row>
    <row r="17" spans="2:21" x14ac:dyDescent="0.2">
      <c r="B17" s="57">
        <v>235</v>
      </c>
      <c r="C17" s="57">
        <v>9.1199999999999992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8">
        <f t="shared" si="1"/>
        <v>-36.399999999999977</v>
      </c>
      <c r="R17" s="56">
        <f t="shared" si="2"/>
        <v>1</v>
      </c>
      <c r="T17" s="64" t="s">
        <v>27</v>
      </c>
      <c r="U17" s="51">
        <f>SUM(U14:U16)</f>
        <v>-249.69464177640612</v>
      </c>
    </row>
    <row r="18" spans="2:21" x14ac:dyDescent="0.2">
      <c r="B18" s="57">
        <v>240</v>
      </c>
      <c r="C18" s="57">
        <v>6.82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8">
        <f t="shared" si="1"/>
        <v>-31.399999999999977</v>
      </c>
      <c r="R18" s="56">
        <f t="shared" si="2"/>
        <v>1</v>
      </c>
    </row>
    <row r="19" spans="2:21" x14ac:dyDescent="0.2">
      <c r="B19" s="57">
        <v>250</v>
      </c>
      <c r="C19" s="57">
        <v>3.6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8">
        <f t="shared" si="1"/>
        <v>-21.399999999999977</v>
      </c>
      <c r="R19" s="56">
        <f t="shared" si="2"/>
        <v>1</v>
      </c>
    </row>
    <row r="20" spans="2:21" x14ac:dyDescent="0.2">
      <c r="B20" s="57">
        <v>260</v>
      </c>
      <c r="C20" s="57">
        <v>1.79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8">
        <f t="shared" si="1"/>
        <v>-11.399999999999977</v>
      </c>
      <c r="R20" s="56">
        <f t="shared" si="2"/>
        <v>1</v>
      </c>
    </row>
    <row r="21" spans="2:21" x14ac:dyDescent="0.2">
      <c r="B21" s="57">
        <v>265</v>
      </c>
      <c r="C21" s="57">
        <v>1.24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8">
        <f t="shared" si="1"/>
        <v>-6.3999999999999773</v>
      </c>
      <c r="R21" s="56">
        <f t="shared" si="2"/>
        <v>1</v>
      </c>
    </row>
    <row r="22" spans="2:21" ht="48" x14ac:dyDescent="0.2">
      <c r="B22" s="60" t="s">
        <v>45</v>
      </c>
      <c r="C22" s="61">
        <f>SUM(C12:C21)</f>
        <v>113.37</v>
      </c>
      <c r="Q22" s="59">
        <f>SUM(Q12:Q21)</f>
        <v>-363.99999999999977</v>
      </c>
      <c r="R22" s="46">
        <f>SUM(R12:R21)</f>
        <v>10</v>
      </c>
      <c r="S22" s="47" t="s">
        <v>47</v>
      </c>
    </row>
    <row r="25" spans="2:21" x14ac:dyDescent="0.2">
      <c r="B25" s="52" t="s">
        <v>51</v>
      </c>
      <c r="C25" s="53">
        <v>45902</v>
      </c>
      <c r="D25" s="53">
        <v>45904</v>
      </c>
      <c r="E25" s="53">
        <v>45909</v>
      </c>
      <c r="F25" s="53">
        <v>45911</v>
      </c>
      <c r="G25" s="53">
        <v>45918</v>
      </c>
      <c r="H25" s="53">
        <v>45925</v>
      </c>
      <c r="I25" s="53">
        <v>45930</v>
      </c>
      <c r="J25" s="53">
        <v>45932</v>
      </c>
      <c r="K25" s="53">
        <v>45939</v>
      </c>
      <c r="L25" s="53">
        <v>45944</v>
      </c>
      <c r="M25" s="53">
        <v>45946</v>
      </c>
      <c r="N25" s="53">
        <v>45951</v>
      </c>
      <c r="O25" s="53">
        <v>45953</v>
      </c>
      <c r="P25" s="54">
        <v>45960</v>
      </c>
      <c r="Q25" s="54">
        <v>45981</v>
      </c>
    </row>
    <row r="26" spans="2:21" ht="32" x14ac:dyDescent="0.2">
      <c r="B26" s="55" t="s">
        <v>43</v>
      </c>
      <c r="C26" s="62">
        <v>0</v>
      </c>
      <c r="D26" s="62">
        <v>1</v>
      </c>
      <c r="E26" s="62">
        <v>2</v>
      </c>
      <c r="F26" s="62">
        <v>3</v>
      </c>
      <c r="G26" s="62">
        <v>4</v>
      </c>
      <c r="H26" s="62">
        <v>5</v>
      </c>
      <c r="I26" s="62">
        <v>6</v>
      </c>
      <c r="J26" s="62">
        <v>7</v>
      </c>
      <c r="K26" s="62">
        <v>8</v>
      </c>
      <c r="L26" s="62">
        <v>9</v>
      </c>
      <c r="M26" s="62">
        <v>10</v>
      </c>
      <c r="N26" s="62">
        <v>11</v>
      </c>
      <c r="O26" s="62">
        <v>12</v>
      </c>
      <c r="P26" s="62">
        <v>13</v>
      </c>
      <c r="Q26" s="62">
        <v>14</v>
      </c>
      <c r="R26" s="63" t="s">
        <v>46</v>
      </c>
    </row>
    <row r="27" spans="2:21" x14ac:dyDescent="0.2">
      <c r="B27" s="57">
        <v>210</v>
      </c>
      <c r="C27" s="42">
        <v>0.80045677399110882</v>
      </c>
      <c r="D27" s="43">
        <v>0.87424113915180057</v>
      </c>
      <c r="E27" s="42">
        <v>0.83290629127856419</v>
      </c>
      <c r="F27" s="43">
        <v>0.79656293337791584</v>
      </c>
      <c r="G27" s="42">
        <v>0.86572841701217684</v>
      </c>
      <c r="H27" s="43">
        <v>0.99070220429080968</v>
      </c>
      <c r="I27" s="42">
        <v>0.99999999999805911</v>
      </c>
      <c r="J27" s="43">
        <v>0.99999999999999978</v>
      </c>
      <c r="K27" s="42">
        <v>0.95450577989419627</v>
      </c>
      <c r="L27" s="43">
        <v>0.9417700455884952</v>
      </c>
      <c r="M27" s="42">
        <v>0.99999999999516975</v>
      </c>
      <c r="N27" s="43">
        <v>0.959101338157064</v>
      </c>
      <c r="O27" s="42">
        <v>0.96861619627229978</v>
      </c>
      <c r="P27" s="43">
        <v>0.9968168852947733</v>
      </c>
      <c r="Q27" s="66">
        <v>1</v>
      </c>
      <c r="R27" s="56">
        <f>IF($Q$3-B27&gt;=0,1,0)</f>
        <v>1</v>
      </c>
      <c r="T27" s="64" t="s">
        <v>32</v>
      </c>
    </row>
    <row r="28" spans="2:21" x14ac:dyDescent="0.2">
      <c r="B28" s="57">
        <v>215</v>
      </c>
      <c r="C28" s="42">
        <v>0.73723385542708164</v>
      </c>
      <c r="D28" s="43">
        <v>0.85507576140801778</v>
      </c>
      <c r="E28" s="42">
        <v>0.8055316159428596</v>
      </c>
      <c r="F28" s="43">
        <v>0.75077996190689111</v>
      </c>
      <c r="G28" s="42">
        <v>0.83127480985350821</v>
      </c>
      <c r="H28" s="43">
        <v>0.99999999999979894</v>
      </c>
      <c r="I28" s="42">
        <v>0.95960691392982422</v>
      </c>
      <c r="J28" s="43">
        <v>0.99999999999983336</v>
      </c>
      <c r="K28" s="42">
        <v>0.93864197445499631</v>
      </c>
      <c r="L28" s="43">
        <v>0.90116336703283995</v>
      </c>
      <c r="M28" s="42">
        <v>0.93116200630114265</v>
      </c>
      <c r="N28" s="43">
        <v>0.93563567383659918</v>
      </c>
      <c r="O28" s="42">
        <v>0.95531148355009221</v>
      </c>
      <c r="P28" s="43">
        <v>0.94519535686575973</v>
      </c>
      <c r="Q28" s="66">
        <v>0.99999999999953171</v>
      </c>
      <c r="R28" s="56">
        <f t="shared" ref="R28:R36" si="3">IF($Q$3-B28&gt;=0,1,0)</f>
        <v>1</v>
      </c>
    </row>
    <row r="29" spans="2:21" x14ac:dyDescent="0.2">
      <c r="B29" s="57">
        <v>220</v>
      </c>
      <c r="C29" s="42">
        <v>0.68110938639624319</v>
      </c>
      <c r="D29" s="43">
        <v>0.79059221490027631</v>
      </c>
      <c r="E29" s="42">
        <v>0.74871790112200487</v>
      </c>
      <c r="F29" s="43">
        <v>0.68911054264987004</v>
      </c>
      <c r="G29" s="42">
        <v>0.79253673074221109</v>
      </c>
      <c r="H29" s="43">
        <v>0.91287944425297995</v>
      </c>
      <c r="I29" s="42">
        <v>0.90225274484194573</v>
      </c>
      <c r="J29" s="43">
        <v>1</v>
      </c>
      <c r="K29" s="42">
        <v>0.91942102511117252</v>
      </c>
      <c r="L29" s="43">
        <v>0.89070797608352081</v>
      </c>
      <c r="M29" s="42">
        <v>0.91097292081876713</v>
      </c>
      <c r="N29" s="43">
        <v>0.95880664144829575</v>
      </c>
      <c r="O29" s="42">
        <v>0.95179266648140681</v>
      </c>
      <c r="P29" s="43">
        <v>0.9878431282739476</v>
      </c>
      <c r="Q29" s="66">
        <v>1</v>
      </c>
      <c r="R29" s="56">
        <f t="shared" si="3"/>
        <v>1</v>
      </c>
      <c r="T29" t="s">
        <v>24</v>
      </c>
      <c r="U29" s="51">
        <f>C22*EXP(C5*C4)</f>
        <v>114.30535822359387</v>
      </c>
    </row>
    <row r="30" spans="2:21" x14ac:dyDescent="0.2">
      <c r="B30" s="57">
        <v>225</v>
      </c>
      <c r="C30" s="42">
        <v>0.6164414315867397</v>
      </c>
      <c r="D30" s="43">
        <v>0.74321752462232604</v>
      </c>
      <c r="E30" s="42">
        <v>0.6808084763358786</v>
      </c>
      <c r="F30" s="43">
        <v>0.62265938934370701</v>
      </c>
      <c r="G30" s="42">
        <v>0.731508899871539</v>
      </c>
      <c r="H30" s="43">
        <v>0.90726307802093387</v>
      </c>
      <c r="I30" s="42">
        <v>0.86828480625895121</v>
      </c>
      <c r="J30" s="43">
        <v>0.99999999999926004</v>
      </c>
      <c r="K30" s="42">
        <v>0.89623757937143844</v>
      </c>
      <c r="L30" s="43">
        <v>0.85964761289590952</v>
      </c>
      <c r="M30" s="42">
        <v>0.87019770720670775</v>
      </c>
      <c r="N30" s="43">
        <v>0.93448703166562619</v>
      </c>
      <c r="O30" s="42">
        <v>0.97503183068054733</v>
      </c>
      <c r="P30" s="43">
        <v>0.99999999999892497</v>
      </c>
      <c r="Q30" s="66">
        <v>1</v>
      </c>
      <c r="R30" s="56">
        <f t="shared" si="3"/>
        <v>1</v>
      </c>
      <c r="T30" t="s">
        <v>25</v>
      </c>
      <c r="U30" s="51">
        <f>-Q41</f>
        <v>-2260.8155006354018</v>
      </c>
    </row>
    <row r="31" spans="2:21" x14ac:dyDescent="0.2">
      <c r="B31" s="57">
        <v>230</v>
      </c>
      <c r="C31" s="42">
        <v>0.54708878881942791</v>
      </c>
      <c r="D31" s="43">
        <v>0.68592987651994386</v>
      </c>
      <c r="E31" s="42">
        <v>0.61309052898841576</v>
      </c>
      <c r="F31" s="43">
        <v>0.54872836961494986</v>
      </c>
      <c r="G31" s="42">
        <v>0.66553660262327274</v>
      </c>
      <c r="H31" s="43">
        <v>0.85689668189640966</v>
      </c>
      <c r="I31" s="42">
        <v>0.83811039931493492</v>
      </c>
      <c r="J31" s="43">
        <v>1</v>
      </c>
      <c r="K31" s="42">
        <v>0.87194398987758026</v>
      </c>
      <c r="L31" s="43">
        <v>0.81071078878665048</v>
      </c>
      <c r="M31" s="42">
        <v>0.78921429851262737</v>
      </c>
      <c r="N31" s="43">
        <v>0.9097542452473143</v>
      </c>
      <c r="O31" s="42">
        <v>0.91073662189127225</v>
      </c>
      <c r="P31" s="43">
        <v>0.97197429216808617</v>
      </c>
      <c r="Q31" s="66">
        <v>1</v>
      </c>
      <c r="R31" s="56">
        <f t="shared" si="3"/>
        <v>1</v>
      </c>
      <c r="T31" t="s">
        <v>26</v>
      </c>
      <c r="U31" s="48">
        <f>SUMPRODUCT(R27:R36,B27:B36)</f>
        <v>2350</v>
      </c>
    </row>
    <row r="32" spans="2:21" x14ac:dyDescent="0.2">
      <c r="B32" s="57">
        <v>235</v>
      </c>
      <c r="C32" s="42">
        <v>0.47335027960585019</v>
      </c>
      <c r="D32" s="43">
        <v>0.62011211973001479</v>
      </c>
      <c r="E32" s="42">
        <v>0.53904190262530194</v>
      </c>
      <c r="F32" s="43">
        <v>0.47006782465665509</v>
      </c>
      <c r="G32" s="42">
        <v>0.59130551615544691</v>
      </c>
      <c r="H32" s="43">
        <v>0.81650510782147578</v>
      </c>
      <c r="I32" s="42">
        <v>0.82182404863564051</v>
      </c>
      <c r="J32" s="43">
        <v>0.99999999994038113</v>
      </c>
      <c r="K32" s="42">
        <v>0.8098324016406615</v>
      </c>
      <c r="L32" s="43">
        <v>0.73989134910018417</v>
      </c>
      <c r="M32" s="42">
        <v>0.73103858473366978</v>
      </c>
      <c r="N32" s="43">
        <v>0.89620650851127492</v>
      </c>
      <c r="O32" s="42">
        <v>0.90998795922141429</v>
      </c>
      <c r="P32" s="43">
        <v>0.98296157183974464</v>
      </c>
      <c r="Q32" s="66">
        <v>1</v>
      </c>
      <c r="R32" s="56">
        <f t="shared" si="3"/>
        <v>1</v>
      </c>
      <c r="T32" s="64" t="s">
        <v>33</v>
      </c>
      <c r="U32" s="51">
        <f>SUM(U29:U31)</f>
        <v>203.48985758819208</v>
      </c>
    </row>
    <row r="33" spans="2:19" x14ac:dyDescent="0.2">
      <c r="B33" s="57">
        <v>240</v>
      </c>
      <c r="C33" s="42">
        <v>0.39702359890206362</v>
      </c>
      <c r="D33" s="43">
        <v>0.54757562392379056</v>
      </c>
      <c r="E33" s="42">
        <v>0.46078924365658352</v>
      </c>
      <c r="F33" s="43">
        <v>0.3899758485397623</v>
      </c>
      <c r="G33" s="42">
        <v>0.51160717048714266</v>
      </c>
      <c r="H33" s="43">
        <v>0.77058993119599428</v>
      </c>
      <c r="I33" s="42">
        <v>0.75102532541808986</v>
      </c>
      <c r="J33" s="43">
        <v>0.99999999999990774</v>
      </c>
      <c r="K33" s="42">
        <v>0.75209451990748888</v>
      </c>
      <c r="L33" s="43">
        <v>0.67249369550275995</v>
      </c>
      <c r="M33" s="42">
        <v>0.65800574347616969</v>
      </c>
      <c r="N33" s="43">
        <v>0.85287574656436416</v>
      </c>
      <c r="O33" s="42">
        <v>0.85205226709350079</v>
      </c>
      <c r="P33" s="43">
        <v>0.94978356319855228</v>
      </c>
      <c r="Q33" s="66">
        <v>0.91728811861967752</v>
      </c>
      <c r="R33" s="56">
        <f t="shared" si="3"/>
        <v>1</v>
      </c>
    </row>
    <row r="34" spans="2:19" x14ac:dyDescent="0.2">
      <c r="B34" s="57">
        <v>250</v>
      </c>
      <c r="C34" s="42">
        <v>0.25572556647362282</v>
      </c>
      <c r="D34" s="43">
        <v>0.39119063916436753</v>
      </c>
      <c r="E34" s="42">
        <v>0.30679923147928378</v>
      </c>
      <c r="F34" s="43">
        <v>0.24482579973386409</v>
      </c>
      <c r="G34" s="42">
        <v>0.34863289676450648</v>
      </c>
      <c r="H34" s="43">
        <v>0.64358635427004995</v>
      </c>
      <c r="I34" s="42">
        <v>0.61438766273248879</v>
      </c>
      <c r="J34" s="43">
        <v>0.99999999999999634</v>
      </c>
      <c r="K34" s="42">
        <v>0.60631112268834875</v>
      </c>
      <c r="L34" s="43">
        <v>0.49664589283855909</v>
      </c>
      <c r="M34" s="42">
        <v>0.4923338902213783</v>
      </c>
      <c r="N34" s="43">
        <v>0.74308196936125603</v>
      </c>
      <c r="O34" s="42">
        <v>0.71022447509544007</v>
      </c>
      <c r="P34" s="43">
        <v>0.88512985136470901</v>
      </c>
      <c r="Q34" s="66">
        <v>0.8558920556917724</v>
      </c>
      <c r="R34" s="56">
        <f t="shared" si="3"/>
        <v>1</v>
      </c>
    </row>
    <row r="35" spans="2:19" x14ac:dyDescent="0.2">
      <c r="B35" s="57">
        <v>260</v>
      </c>
      <c r="C35" s="42">
        <v>0.14917127799492261</v>
      </c>
      <c r="D35" s="43">
        <v>0.24754304141454761</v>
      </c>
      <c r="E35" s="42">
        <v>0.18161220025306299</v>
      </c>
      <c r="F35" s="43">
        <v>0.13855126677934959</v>
      </c>
      <c r="G35" s="42">
        <v>0.2102732040283985</v>
      </c>
      <c r="H35" s="43">
        <v>0.49524928843756449</v>
      </c>
      <c r="I35" s="42">
        <v>0.45279014373857668</v>
      </c>
      <c r="J35" s="43">
        <v>0.275336754155313</v>
      </c>
      <c r="K35" s="42">
        <v>0.43303165713910491</v>
      </c>
      <c r="L35" s="43">
        <v>0.32711299930193111</v>
      </c>
      <c r="M35" s="42">
        <v>0.32283375237697493</v>
      </c>
      <c r="N35" s="43">
        <v>0.58270360660218845</v>
      </c>
      <c r="O35" s="42">
        <v>0.52220514576368615</v>
      </c>
      <c r="P35" s="43">
        <v>0.75659965270785157</v>
      </c>
      <c r="Q35" s="66">
        <v>0.73436362707670511</v>
      </c>
      <c r="R35" s="56">
        <f t="shared" si="3"/>
        <v>1</v>
      </c>
    </row>
    <row r="36" spans="2:19" x14ac:dyDescent="0.2">
      <c r="B36" s="71">
        <v>265</v>
      </c>
      <c r="C36" s="66">
        <v>0.1105719099640218</v>
      </c>
      <c r="D36" s="44">
        <v>0.1881094714547456</v>
      </c>
      <c r="E36" s="66">
        <v>0.13436482455081539</v>
      </c>
      <c r="F36" s="44">
        <v>0.1021737925112234</v>
      </c>
      <c r="G36" s="66">
        <v>0.15740462763283919</v>
      </c>
      <c r="H36" s="44">
        <v>0.41879731316232338</v>
      </c>
      <c r="I36" s="66">
        <v>0.37200198097229359</v>
      </c>
      <c r="J36" s="44">
        <v>3.5643827672678922E-2</v>
      </c>
      <c r="K36" s="66">
        <v>0.34838667654838867</v>
      </c>
      <c r="L36" s="44">
        <v>0.2517841385711817</v>
      </c>
      <c r="M36" s="66">
        <v>0.2489383481123644</v>
      </c>
      <c r="N36" s="44">
        <v>0.48994205132258012</v>
      </c>
      <c r="O36" s="66">
        <v>0.41874429474991892</v>
      </c>
      <c r="P36" s="44">
        <v>0.66294357182196051</v>
      </c>
      <c r="Q36" s="66">
        <v>0.64524081219776674</v>
      </c>
      <c r="R36" s="56">
        <f t="shared" si="3"/>
        <v>1</v>
      </c>
    </row>
    <row r="37" spans="2:19" ht="48" x14ac:dyDescent="0.2">
      <c r="B37" s="62" t="s">
        <v>48</v>
      </c>
      <c r="C37" s="62">
        <f>SUM(C27:C36)</f>
        <v>4.7681728691610825</v>
      </c>
      <c r="D37" s="62">
        <f t="shared" ref="D37:Q37" si="4">SUM(D27:D36)</f>
        <v>5.9435874122898298</v>
      </c>
      <c r="E37" s="62">
        <f t="shared" si="4"/>
        <v>5.3036622162327713</v>
      </c>
      <c r="F37" s="62">
        <f t="shared" si="4"/>
        <v>4.7534357291141882</v>
      </c>
      <c r="G37" s="62">
        <f t="shared" si="4"/>
        <v>5.7058088751710407</v>
      </c>
      <c r="H37" s="62">
        <f t="shared" si="4"/>
        <v>7.8124694033483397</v>
      </c>
      <c r="I37" s="62">
        <f t="shared" si="4"/>
        <v>7.5802840258408057</v>
      </c>
      <c r="J37" s="62">
        <f t="shared" si="4"/>
        <v>8.310980581767371</v>
      </c>
      <c r="K37" s="62">
        <f t="shared" si="4"/>
        <v>7.5304067266333767</v>
      </c>
      <c r="L37" s="62">
        <f t="shared" si="4"/>
        <v>6.8919278657020335</v>
      </c>
      <c r="M37" s="62">
        <f t="shared" si="4"/>
        <v>6.9546972517549728</v>
      </c>
      <c r="N37" s="62">
        <f t="shared" si="4"/>
        <v>8.2625948127165643</v>
      </c>
      <c r="O37" s="62">
        <f t="shared" si="4"/>
        <v>8.1747029407995768</v>
      </c>
      <c r="P37" s="62">
        <f t="shared" si="4"/>
        <v>9.1392478735343108</v>
      </c>
      <c r="Q37" s="62">
        <f t="shared" si="4"/>
        <v>9.1527846135854531</v>
      </c>
      <c r="R37" s="46">
        <f>SUM(R27:R36)</f>
        <v>10</v>
      </c>
      <c r="S37" s="47" t="s">
        <v>47</v>
      </c>
    </row>
    <row r="38" spans="2:19" x14ac:dyDescent="0.2">
      <c r="B38" s="67" t="s">
        <v>36</v>
      </c>
      <c r="C38" s="52">
        <f>C37</f>
        <v>4.7681728691610825</v>
      </c>
      <c r="D38" s="56">
        <f>D37-C37</f>
        <v>1.1754145431287473</v>
      </c>
      <c r="E38" s="56">
        <f>E37-D37</f>
        <v>-0.63992519605705844</v>
      </c>
      <c r="F38" s="56">
        <f>F37-E37</f>
        <v>-0.55022648711858313</v>
      </c>
      <c r="G38" s="56">
        <f>G37-F37</f>
        <v>0.95237314605685253</v>
      </c>
      <c r="H38" s="56">
        <f>H37-G37</f>
        <v>2.106660528177299</v>
      </c>
      <c r="I38" s="56">
        <f t="shared" ref="I38:Q38" si="5">I37-H37</f>
        <v>-0.23218537750753399</v>
      </c>
      <c r="J38" s="56">
        <f t="shared" si="5"/>
        <v>0.73069655592656524</v>
      </c>
      <c r="K38" s="56">
        <f t="shared" si="5"/>
        <v>-0.78057385513399424</v>
      </c>
      <c r="L38" s="56">
        <f t="shared" si="5"/>
        <v>-0.63847886093134321</v>
      </c>
      <c r="M38" s="56">
        <f t="shared" si="5"/>
        <v>6.2769386052939247E-2</v>
      </c>
      <c r="N38" s="56">
        <f t="shared" si="5"/>
        <v>1.3078975609615915</v>
      </c>
      <c r="O38" s="56">
        <f t="shared" si="5"/>
        <v>-8.7891871916987441E-2</v>
      </c>
      <c r="P38" s="56">
        <f t="shared" si="5"/>
        <v>0.96454493273473396</v>
      </c>
      <c r="Q38" s="56">
        <f t="shared" si="5"/>
        <v>1.353674005114236E-2</v>
      </c>
    </row>
    <row r="39" spans="2:19" x14ac:dyDescent="0.2">
      <c r="B39" s="67" t="s">
        <v>37</v>
      </c>
      <c r="C39" s="68">
        <f>C38*C3</f>
        <v>1095.3446715036839</v>
      </c>
      <c r="D39" s="68">
        <f>D38*D3</f>
        <v>281.84089915141101</v>
      </c>
      <c r="E39" s="68">
        <f t="shared" ref="E39:Q39" si="6">E38*E3</f>
        <v>-149.96646969597165</v>
      </c>
      <c r="F39" s="68">
        <f t="shared" si="6"/>
        <v>-126.56859883188768</v>
      </c>
      <c r="G39" s="68">
        <f t="shared" si="6"/>
        <v>226.55052398400409</v>
      </c>
      <c r="H39" s="68">
        <f t="shared" si="6"/>
        <v>541.13788987290275</v>
      </c>
      <c r="I39" s="68">
        <f>I38*I3</f>
        <v>-59.121362674743381</v>
      </c>
      <c r="J39" s="68">
        <f t="shared" si="6"/>
        <v>187.8840054253977</v>
      </c>
      <c r="K39" s="68">
        <f t="shared" si="6"/>
        <v>-198.2969821582399</v>
      </c>
      <c r="L39" s="68">
        <f t="shared" si="6"/>
        <v>-158.19590737295891</v>
      </c>
      <c r="M39" s="68">
        <f t="shared" si="6"/>
        <v>15.532284578799816</v>
      </c>
      <c r="N39" s="68">
        <f t="shared" si="6"/>
        <v>343.67624209387736</v>
      </c>
      <c r="O39" s="68">
        <f t="shared" si="6"/>
        <v>-22.814972112211599</v>
      </c>
      <c r="P39" s="68">
        <f t="shared" si="6"/>
        <v>261.77749474420676</v>
      </c>
      <c r="Q39" s="68">
        <f t="shared" si="6"/>
        <v>3.6738712498800363</v>
      </c>
    </row>
    <row r="40" spans="2:19" x14ac:dyDescent="0.2">
      <c r="B40" s="67" t="s">
        <v>49</v>
      </c>
      <c r="C40" s="68">
        <f>ABS(0.5%*C39)</f>
        <v>5.47672335751842</v>
      </c>
      <c r="D40" s="68">
        <f t="shared" ref="D40:Q40" si="7">ABS(0.5%*D39)</f>
        <v>1.4092044957570551</v>
      </c>
      <c r="E40" s="68">
        <f>ABS(0.5%*E39)</f>
        <v>0.74983234847985825</v>
      </c>
      <c r="F40" s="68">
        <f t="shared" si="7"/>
        <v>0.63284299415943845</v>
      </c>
      <c r="G40" s="68">
        <f t="shared" si="7"/>
        <v>1.1327526199200204</v>
      </c>
      <c r="H40" s="68">
        <f t="shared" si="7"/>
        <v>2.7056894493645136</v>
      </c>
      <c r="I40" s="68">
        <f t="shared" si="7"/>
        <v>0.29560681337371691</v>
      </c>
      <c r="J40" s="68">
        <f t="shared" si="7"/>
        <v>0.93942002712698858</v>
      </c>
      <c r="K40" s="68">
        <f t="shared" si="7"/>
        <v>0.99148491079119949</v>
      </c>
      <c r="L40" s="68">
        <f t="shared" si="7"/>
        <v>0.79097953686479461</v>
      </c>
      <c r="M40" s="68">
        <f t="shared" si="7"/>
        <v>7.7661422893999077E-2</v>
      </c>
      <c r="N40" s="68">
        <f t="shared" si="7"/>
        <v>1.7183812104693867</v>
      </c>
      <c r="O40" s="68">
        <f t="shared" si="7"/>
        <v>0.11407486056105799</v>
      </c>
      <c r="P40" s="68">
        <f t="shared" si="7"/>
        <v>1.3088874737210339</v>
      </c>
      <c r="Q40" s="68">
        <f t="shared" si="7"/>
        <v>1.8369356249400181E-2</v>
      </c>
    </row>
    <row r="41" spans="2:19" x14ac:dyDescent="0.2">
      <c r="B41" s="69" t="s">
        <v>50</v>
      </c>
      <c r="C41" s="70">
        <f>C40+C39</f>
        <v>1100.8213948612024</v>
      </c>
      <c r="D41" s="70">
        <f>C41+D39+D40</f>
        <v>1384.0714985083705</v>
      </c>
      <c r="E41" s="70">
        <f>D41+E39+E40</f>
        <v>1234.8548611608787</v>
      </c>
      <c r="F41" s="70">
        <f>E41+F39+F40</f>
        <v>1108.9191053231507</v>
      </c>
      <c r="G41" s="70">
        <f t="shared" ref="G41" si="8">F41+G39+G40</f>
        <v>1336.6023819270747</v>
      </c>
      <c r="H41" s="70">
        <f t="shared" ref="H41" si="9">G41+H39+H40</f>
        <v>1880.4459612493422</v>
      </c>
      <c r="I41" s="70">
        <f t="shared" ref="I41" si="10">H41+I39+I40</f>
        <v>1821.6202053879726</v>
      </c>
      <c r="J41" s="70">
        <f t="shared" ref="J41" si="11">I41+J39+J40</f>
        <v>2010.4436308404972</v>
      </c>
      <c r="K41" s="70">
        <f t="shared" ref="K41" si="12">J41+K39+K40</f>
        <v>1813.1381335930485</v>
      </c>
      <c r="L41" s="70">
        <f t="shared" ref="L41" si="13">K41+L39+L40</f>
        <v>1655.7332057569545</v>
      </c>
      <c r="M41" s="70">
        <f t="shared" ref="M41" si="14">L41+M39+M40</f>
        <v>1671.3431517586482</v>
      </c>
      <c r="N41" s="70">
        <f t="shared" ref="N41" si="15">M41+N39+N40</f>
        <v>2016.7377750629951</v>
      </c>
      <c r="O41" s="70">
        <f t="shared" ref="O41" si="16">N41+O39+O40</f>
        <v>1994.0368778113445</v>
      </c>
      <c r="P41" s="70">
        <f t="shared" ref="P41" si="17">O41+P39+P40</f>
        <v>2257.1232600292724</v>
      </c>
      <c r="Q41" s="70">
        <f>P41+Q39+Q40</f>
        <v>2260.8155006354018</v>
      </c>
    </row>
  </sheetData>
  <conditionalFormatting sqref="U17">
    <cfRule type="colorScale" priority="1">
      <colorScale>
        <cfvo type="num" val="&quot;&lt;0&quot;"/>
        <cfvo type="num" val="0"/>
        <color theme="5"/>
        <color rgb="FFFFEF9C"/>
      </colorScale>
    </cfRule>
  </conditionalFormatting>
  <pageMargins left="0.7" right="0.7" top="0.75" bottom="0.75" header="0.3" footer="0.3"/>
  <pageSetup orientation="portrait" horizontalDpi="0" verticalDpi="0"/>
  <ignoredErrors>
    <ignoredError sqref="C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25E9-7473-F346-8CBB-0A2004AD43F5}">
  <dimension ref="A1:N151"/>
  <sheetViews>
    <sheetView tabSelected="1" workbookViewId="0">
      <selection activeCell="E20" sqref="E20"/>
    </sheetView>
  </sheetViews>
  <sheetFormatPr baseColWidth="10" defaultRowHeight="15" x14ac:dyDescent="0.2"/>
  <cols>
    <col min="4" max="5" width="17.6640625" bestFit="1" customWidth="1"/>
  </cols>
  <sheetData>
    <row r="1" spans="1:14" x14ac:dyDescent="0.2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42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</row>
    <row r="2" spans="1:14" x14ac:dyDescent="0.2">
      <c r="A2">
        <v>200</v>
      </c>
      <c r="B2">
        <v>33.9</v>
      </c>
      <c r="C2">
        <v>229.72</v>
      </c>
      <c r="D2" s="1">
        <v>45902</v>
      </c>
      <c r="E2" s="1">
        <v>45982</v>
      </c>
      <c r="F2">
        <v>0.21917800000000001</v>
      </c>
      <c r="G2">
        <v>0.31088714198922779</v>
      </c>
      <c r="H2">
        <v>3.7488444410991598E-2</v>
      </c>
      <c r="I2">
        <v>0</v>
      </c>
      <c r="J2">
        <v>0.86017702542548657</v>
      </c>
      <c r="K2">
        <v>6.651295079488073E-3</v>
      </c>
      <c r="L2">
        <v>23.91682637013604</v>
      </c>
      <c r="M2">
        <v>-23.098943043434382</v>
      </c>
      <c r="N2">
        <v>35.879409286649199</v>
      </c>
    </row>
    <row r="3" spans="1:14" x14ac:dyDescent="0.2">
      <c r="A3">
        <v>210</v>
      </c>
      <c r="B3">
        <v>24.85</v>
      </c>
      <c r="C3">
        <v>229.72</v>
      </c>
      <c r="D3" s="1">
        <v>45902</v>
      </c>
      <c r="E3" s="1">
        <v>45982</v>
      </c>
      <c r="F3">
        <v>0.21917800000000001</v>
      </c>
      <c r="G3">
        <v>0.2681188980478415</v>
      </c>
      <c r="H3">
        <v>3.7488444410991598E-2</v>
      </c>
      <c r="I3">
        <v>0</v>
      </c>
      <c r="J3">
        <v>0.80045677399110882</v>
      </c>
      <c r="K3">
        <v>9.6956495333919961E-3</v>
      </c>
      <c r="L3">
        <v>30.06761006729409</v>
      </c>
      <c r="M3">
        <v>-24.35256960821896</v>
      </c>
      <c r="N3">
        <v>34.856081201372923</v>
      </c>
    </row>
    <row r="4" spans="1:14" x14ac:dyDescent="0.2">
      <c r="A4">
        <v>215</v>
      </c>
      <c r="B4">
        <v>21.6</v>
      </c>
      <c r="C4">
        <v>229.72</v>
      </c>
      <c r="D4" s="1">
        <v>45902</v>
      </c>
      <c r="E4" s="1">
        <v>45982</v>
      </c>
      <c r="F4">
        <v>0.21917800000000001</v>
      </c>
      <c r="G4">
        <v>0.27920651785620032</v>
      </c>
      <c r="H4">
        <v>3.7488444410991598E-2</v>
      </c>
      <c r="I4">
        <v>0</v>
      </c>
      <c r="J4">
        <v>0.73723385542708164</v>
      </c>
      <c r="K4">
        <v>1.0861053284035509E-2</v>
      </c>
      <c r="L4">
        <v>35.074547071966748</v>
      </c>
      <c r="M4">
        <v>-27.879579414197469</v>
      </c>
      <c r="N4">
        <v>32.385162928110127</v>
      </c>
    </row>
    <row r="5" spans="1:14" x14ac:dyDescent="0.2">
      <c r="A5">
        <v>220</v>
      </c>
      <c r="B5">
        <v>17.95</v>
      </c>
      <c r="C5">
        <v>229.72</v>
      </c>
      <c r="D5" s="1">
        <v>45902</v>
      </c>
      <c r="E5" s="1">
        <v>45982</v>
      </c>
      <c r="F5">
        <v>0.21917800000000001</v>
      </c>
      <c r="G5">
        <v>0.26955170887000918</v>
      </c>
      <c r="H5">
        <v>3.7488444410991598E-2</v>
      </c>
      <c r="I5">
        <v>0</v>
      </c>
      <c r="J5">
        <v>0.68110938639624319</v>
      </c>
      <c r="K5">
        <v>1.231795917875932E-2</v>
      </c>
      <c r="L5">
        <v>38.403908375262482</v>
      </c>
      <c r="M5">
        <v>-28.807833063698279</v>
      </c>
      <c r="N5">
        <v>30.35931973698899</v>
      </c>
    </row>
    <row r="6" spans="1:14" x14ac:dyDescent="0.2">
      <c r="A6">
        <v>225</v>
      </c>
      <c r="B6">
        <v>14.75</v>
      </c>
      <c r="C6">
        <v>229.72</v>
      </c>
      <c r="D6" s="1">
        <v>45902</v>
      </c>
      <c r="E6" s="1">
        <v>45982</v>
      </c>
      <c r="F6">
        <v>0.21917800000000001</v>
      </c>
      <c r="G6">
        <v>0.2641585428475528</v>
      </c>
      <c r="H6">
        <v>3.7488444410991598E-2</v>
      </c>
      <c r="I6">
        <v>0</v>
      </c>
      <c r="J6">
        <v>0.6164414315867397</v>
      </c>
      <c r="K6">
        <v>1.344013182136795E-2</v>
      </c>
      <c r="L6">
        <v>41.064142986268472</v>
      </c>
      <c r="M6">
        <v>-29.50148508561071</v>
      </c>
      <c r="N6">
        <v>27.804685609207318</v>
      </c>
    </row>
    <row r="7" spans="1:14" x14ac:dyDescent="0.2">
      <c r="A7">
        <v>235</v>
      </c>
      <c r="B7">
        <v>9.1199999999999992</v>
      </c>
      <c r="C7">
        <v>229.72</v>
      </c>
      <c r="D7" s="1">
        <v>45902</v>
      </c>
      <c r="E7" s="1">
        <v>45982</v>
      </c>
      <c r="F7">
        <v>0.21917800000000001</v>
      </c>
      <c r="G7">
        <v>0.24806825618645731</v>
      </c>
      <c r="H7">
        <v>3.7488444410991598E-2</v>
      </c>
      <c r="I7">
        <v>0</v>
      </c>
      <c r="J7">
        <v>0.47335027960585019</v>
      </c>
      <c r="K7">
        <v>1.492007994009642E-2</v>
      </c>
      <c r="L7">
        <v>42.809180945268423</v>
      </c>
      <c r="M7">
        <v>-27.960493836184568</v>
      </c>
      <c r="N7">
        <v>21.83407975327038</v>
      </c>
    </row>
    <row r="8" spans="1:14" x14ac:dyDescent="0.2">
      <c r="A8">
        <v>240</v>
      </c>
      <c r="B8">
        <v>6.82</v>
      </c>
      <c r="C8">
        <v>229.72</v>
      </c>
      <c r="D8" s="1">
        <v>45902</v>
      </c>
      <c r="E8" s="1">
        <v>45982</v>
      </c>
      <c r="F8">
        <v>0.21917800000000001</v>
      </c>
      <c r="G8">
        <v>0.23952138263225051</v>
      </c>
      <c r="H8">
        <v>3.7488444410991598E-2</v>
      </c>
      <c r="I8">
        <v>0</v>
      </c>
      <c r="J8">
        <v>0.39702359890206362</v>
      </c>
      <c r="K8">
        <v>1.496819872867401E-2</v>
      </c>
      <c r="L8">
        <v>41.467552712463998</v>
      </c>
      <c r="M8">
        <v>-25.821652113631369</v>
      </c>
      <c r="N8">
        <v>18.495173588095149</v>
      </c>
    </row>
    <row r="9" spans="1:14" x14ac:dyDescent="0.2">
      <c r="A9">
        <v>250</v>
      </c>
      <c r="B9">
        <v>3.6</v>
      </c>
      <c r="C9">
        <v>229.72</v>
      </c>
      <c r="D9" s="1">
        <v>45902</v>
      </c>
      <c r="E9" s="1">
        <v>45982</v>
      </c>
      <c r="F9">
        <v>0.21917800000000001</v>
      </c>
      <c r="G9">
        <v>0.22968344640029831</v>
      </c>
      <c r="H9">
        <v>3.7488444410991598E-2</v>
      </c>
      <c r="I9">
        <v>0</v>
      </c>
      <c r="J9">
        <v>0.25572556647362282</v>
      </c>
      <c r="K9">
        <v>1.301881774635618E-2</v>
      </c>
      <c r="L9">
        <v>34.585640131362346</v>
      </c>
      <c r="M9">
        <v>-20.188994906772422</v>
      </c>
      <c r="N9">
        <v>12.086631550863441</v>
      </c>
    </row>
    <row r="10" spans="1:14" x14ac:dyDescent="0.2">
      <c r="A10">
        <v>260</v>
      </c>
      <c r="B10">
        <v>1.79</v>
      </c>
      <c r="C10">
        <v>229.72</v>
      </c>
      <c r="D10" s="1">
        <v>45902</v>
      </c>
      <c r="E10" s="1">
        <v>45982</v>
      </c>
      <c r="F10">
        <v>0.21917800000000001</v>
      </c>
      <c r="G10">
        <v>0.2259434495042901</v>
      </c>
      <c r="H10">
        <v>3.7488444410991598E-2</v>
      </c>
      <c r="I10">
        <v>0</v>
      </c>
      <c r="J10">
        <v>0.14917127799492261</v>
      </c>
      <c r="K10">
        <v>9.5598075407747358E-3</v>
      </c>
      <c r="L10">
        <v>24.982936199177502</v>
      </c>
      <c r="M10">
        <v>-14.09458260513701</v>
      </c>
      <c r="N10">
        <v>7.1183811072351446</v>
      </c>
    </row>
    <row r="11" spans="1:14" x14ac:dyDescent="0.2">
      <c r="A11">
        <v>265</v>
      </c>
      <c r="B11">
        <v>1.24</v>
      </c>
      <c r="C11">
        <v>229.72</v>
      </c>
      <c r="D11" s="1">
        <v>45902</v>
      </c>
      <c r="E11" s="1">
        <v>45982</v>
      </c>
      <c r="F11">
        <v>0.21917800000000001</v>
      </c>
      <c r="G11">
        <v>0.22536171834888</v>
      </c>
      <c r="H11">
        <v>3.7488444410991598E-2</v>
      </c>
      <c r="I11">
        <v>0</v>
      </c>
      <c r="J11">
        <v>0.1105719099640218</v>
      </c>
      <c r="K11">
        <v>7.7871346888946308E-3</v>
      </c>
      <c r="L11">
        <v>20.297960675056931</v>
      </c>
      <c r="M11">
        <v>-11.34105833751584</v>
      </c>
      <c r="N11">
        <v>5.295467418419495</v>
      </c>
    </row>
    <row r="12" spans="1:14" x14ac:dyDescent="0.2">
      <c r="A12">
        <v>200</v>
      </c>
      <c r="B12">
        <v>42.87</v>
      </c>
      <c r="C12">
        <v>239.78</v>
      </c>
      <c r="D12" s="1">
        <v>45904</v>
      </c>
      <c r="E12" s="1">
        <v>45982</v>
      </c>
      <c r="F12">
        <v>0.213699</v>
      </c>
      <c r="G12">
        <v>0.31806423562446712</v>
      </c>
      <c r="H12">
        <v>3.7488444410991598E-2</v>
      </c>
      <c r="I12">
        <v>0</v>
      </c>
      <c r="J12">
        <v>0.91336413191881216</v>
      </c>
      <c r="K12">
        <v>4.4771508302043411E-3</v>
      </c>
      <c r="L12">
        <v>17.496249582277638</v>
      </c>
      <c r="M12">
        <v>-19.623571244451249</v>
      </c>
      <c r="N12">
        <v>37.640183493803256</v>
      </c>
    </row>
    <row r="13" spans="1:14" x14ac:dyDescent="0.2">
      <c r="A13">
        <v>210</v>
      </c>
      <c r="B13">
        <v>33.520000000000003</v>
      </c>
      <c r="C13">
        <v>239.78</v>
      </c>
      <c r="D13" s="1">
        <v>45904</v>
      </c>
      <c r="E13" s="1">
        <v>45982</v>
      </c>
      <c r="F13">
        <v>0.213699</v>
      </c>
      <c r="G13">
        <v>0.28123511515548072</v>
      </c>
      <c r="H13">
        <v>3.7488444410991598E-2</v>
      </c>
      <c r="I13">
        <v>0</v>
      </c>
      <c r="J13">
        <v>0.87424113915180057</v>
      </c>
      <c r="K13">
        <v>6.6314643581825549E-3</v>
      </c>
      <c r="L13">
        <v>22.91434182303129</v>
      </c>
      <c r="M13">
        <v>-21.679947364975639</v>
      </c>
      <c r="N13">
        <v>37.633577852010063</v>
      </c>
    </row>
    <row r="14" spans="1:14" x14ac:dyDescent="0.2">
      <c r="A14">
        <v>215</v>
      </c>
      <c r="B14">
        <v>28.7</v>
      </c>
      <c r="C14">
        <v>239.78</v>
      </c>
      <c r="D14" s="1">
        <v>45904</v>
      </c>
      <c r="E14" s="1">
        <v>45982</v>
      </c>
      <c r="F14">
        <v>0.213699</v>
      </c>
      <c r="G14">
        <v>0.25332637408448472</v>
      </c>
      <c r="H14">
        <v>3.7488444410991598E-2</v>
      </c>
      <c r="I14">
        <v>0</v>
      </c>
      <c r="J14">
        <v>0.85507576140801778</v>
      </c>
      <c r="K14">
        <v>8.114092766755069E-3</v>
      </c>
      <c r="L14">
        <v>25.25508166746442</v>
      </c>
      <c r="M14">
        <v>-21.57947465668072</v>
      </c>
      <c r="N14">
        <v>37.681558780035211</v>
      </c>
    </row>
    <row r="15" spans="1:14" x14ac:dyDescent="0.2">
      <c r="A15">
        <v>220</v>
      </c>
      <c r="B15">
        <v>25.35</v>
      </c>
      <c r="C15">
        <v>239.78</v>
      </c>
      <c r="D15" s="1">
        <v>45904</v>
      </c>
      <c r="E15" s="1">
        <v>45982</v>
      </c>
      <c r="F15">
        <v>0.213699</v>
      </c>
      <c r="G15">
        <v>0.27312033714954592</v>
      </c>
      <c r="H15">
        <v>3.7488444410991598E-2</v>
      </c>
      <c r="I15">
        <v>0</v>
      </c>
      <c r="J15">
        <v>0.79059221490027631</v>
      </c>
      <c r="K15">
        <v>9.5040013204710228E-3</v>
      </c>
      <c r="L15">
        <v>31.89252682417991</v>
      </c>
      <c r="M15">
        <v>-26.536580744001881</v>
      </c>
      <c r="N15">
        <v>35.093265396769837</v>
      </c>
    </row>
    <row r="16" spans="1:14" x14ac:dyDescent="0.2">
      <c r="A16">
        <v>225</v>
      </c>
      <c r="B16">
        <v>21.34</v>
      </c>
      <c r="C16">
        <v>239.78</v>
      </c>
      <c r="D16" s="1">
        <v>45904</v>
      </c>
      <c r="E16" s="1">
        <v>45982</v>
      </c>
      <c r="F16">
        <v>0.213699</v>
      </c>
      <c r="G16">
        <v>0.2613594547814197</v>
      </c>
      <c r="H16">
        <v>3.7488444410991598E-2</v>
      </c>
      <c r="I16">
        <v>0</v>
      </c>
      <c r="J16">
        <v>0.74321752462232604</v>
      </c>
      <c r="K16">
        <v>1.112448513048587E-2</v>
      </c>
      <c r="L16">
        <v>35.722885944119362</v>
      </c>
      <c r="M16">
        <v>-27.725774425149691</v>
      </c>
      <c r="N16">
        <v>33.522683905354533</v>
      </c>
    </row>
    <row r="17" spans="1:14" x14ac:dyDescent="0.2">
      <c r="A17">
        <v>235</v>
      </c>
      <c r="B17">
        <v>14.3</v>
      </c>
      <c r="C17">
        <v>239.78</v>
      </c>
      <c r="D17" s="1">
        <v>45904</v>
      </c>
      <c r="E17" s="1">
        <v>45982</v>
      </c>
      <c r="F17">
        <v>0.213699</v>
      </c>
      <c r="G17">
        <v>0.2442123465629551</v>
      </c>
      <c r="H17">
        <v>3.7488444410991598E-2</v>
      </c>
      <c r="I17">
        <v>0</v>
      </c>
      <c r="J17">
        <v>0.62011211973001479</v>
      </c>
      <c r="K17">
        <v>1.4064532596519779E-2</v>
      </c>
      <c r="L17">
        <v>42.200862018442017</v>
      </c>
      <c r="M17">
        <v>-29.151379304815212</v>
      </c>
      <c r="N17">
        <v>28.719112055031879</v>
      </c>
    </row>
    <row r="18" spans="1:14" x14ac:dyDescent="0.2">
      <c r="A18">
        <v>240</v>
      </c>
      <c r="B18">
        <v>11.3</v>
      </c>
      <c r="C18">
        <v>239.78</v>
      </c>
      <c r="D18" s="1">
        <v>45904</v>
      </c>
      <c r="E18" s="1">
        <v>45982</v>
      </c>
      <c r="F18">
        <v>0.213699</v>
      </c>
      <c r="G18">
        <v>0.2368321216681929</v>
      </c>
      <c r="H18">
        <v>3.7488444410991598E-2</v>
      </c>
      <c r="I18">
        <v>0</v>
      </c>
      <c r="J18">
        <v>0.54757562392379056</v>
      </c>
      <c r="K18">
        <v>1.508871810376387E-2</v>
      </c>
      <c r="L18">
        <v>43.905745141221352</v>
      </c>
      <c r="M18">
        <v>-28.827818540201761</v>
      </c>
      <c r="N18">
        <v>25.64338482744596</v>
      </c>
    </row>
    <row r="19" spans="1:14" x14ac:dyDescent="0.2">
      <c r="A19">
        <v>250</v>
      </c>
      <c r="B19">
        <v>6.43</v>
      </c>
      <c r="C19">
        <v>239.78</v>
      </c>
      <c r="D19" s="1">
        <v>45904</v>
      </c>
      <c r="E19" s="1">
        <v>45982</v>
      </c>
      <c r="F19">
        <v>0.213699</v>
      </c>
      <c r="G19">
        <v>0.22265646890818089</v>
      </c>
      <c r="H19">
        <v>3.7488444410991598E-2</v>
      </c>
      <c r="I19">
        <v>0</v>
      </c>
      <c r="J19">
        <v>0.39119063916436753</v>
      </c>
      <c r="K19">
        <v>1.5559409084066981E-2</v>
      </c>
      <c r="L19">
        <v>42.565409735364923</v>
      </c>
      <c r="M19">
        <v>-25.45015068364982</v>
      </c>
      <c r="N19">
        <v>18.67081569506065</v>
      </c>
    </row>
    <row r="20" spans="1:14" x14ac:dyDescent="0.2">
      <c r="A20">
        <v>260</v>
      </c>
      <c r="B20">
        <v>3.35</v>
      </c>
      <c r="C20">
        <v>239.78</v>
      </c>
      <c r="D20" s="1">
        <v>45904</v>
      </c>
      <c r="E20" s="1">
        <v>45982</v>
      </c>
      <c r="F20">
        <v>0.213699</v>
      </c>
      <c r="G20">
        <v>0.2155586491226899</v>
      </c>
      <c r="H20">
        <v>3.7488444410991598E-2</v>
      </c>
      <c r="I20">
        <v>0</v>
      </c>
      <c r="J20">
        <v>0.24754304141454761</v>
      </c>
      <c r="K20">
        <v>1.322995583672029E-2</v>
      </c>
      <c r="L20">
        <v>35.039044073644668</v>
      </c>
      <c r="M20">
        <v>-19.771553193509899</v>
      </c>
      <c r="N20">
        <v>11.96839851364172</v>
      </c>
    </row>
    <row r="21" spans="1:14" x14ac:dyDescent="0.2">
      <c r="A21">
        <v>265</v>
      </c>
      <c r="B21">
        <v>2.33</v>
      </c>
      <c r="C21">
        <v>239.78</v>
      </c>
      <c r="D21" s="1">
        <v>45904</v>
      </c>
      <c r="E21" s="1">
        <v>45982</v>
      </c>
      <c r="F21">
        <v>0.213699</v>
      </c>
      <c r="G21">
        <v>0.21304212648126181</v>
      </c>
      <c r="H21">
        <v>3.7488444410991598E-2</v>
      </c>
      <c r="I21">
        <v>0</v>
      </c>
      <c r="J21">
        <v>0.1881094714547456</v>
      </c>
      <c r="K21">
        <v>1.142088158366138E-2</v>
      </c>
      <c r="L21">
        <v>29.894653127764851</v>
      </c>
      <c r="M21">
        <v>-16.504945135424911</v>
      </c>
      <c r="N21">
        <v>9.1409510183711618</v>
      </c>
    </row>
    <row r="22" spans="1:14" x14ac:dyDescent="0.2">
      <c r="A22">
        <v>200</v>
      </c>
      <c r="B22">
        <v>37</v>
      </c>
      <c r="C22">
        <v>234.35</v>
      </c>
      <c r="D22" s="1">
        <v>45909</v>
      </c>
      <c r="E22" s="1">
        <v>45982</v>
      </c>
      <c r="F22">
        <v>0.2</v>
      </c>
      <c r="G22">
        <v>0.2795956922633846</v>
      </c>
      <c r="H22">
        <v>3.7488444410991598E-2</v>
      </c>
      <c r="I22">
        <v>0</v>
      </c>
      <c r="J22">
        <v>0.91774675509578962</v>
      </c>
      <c r="K22">
        <v>5.1808967911644724E-3</v>
      </c>
      <c r="L22">
        <v>15.910921318156049</v>
      </c>
      <c r="M22">
        <v>-17.79727808124721</v>
      </c>
      <c r="N22">
        <v>35.614790290123011</v>
      </c>
    </row>
    <row r="23" spans="1:14" x14ac:dyDescent="0.2">
      <c r="A23">
        <v>210</v>
      </c>
      <c r="B23">
        <v>28.8</v>
      </c>
      <c r="C23">
        <v>234.35</v>
      </c>
      <c r="D23" s="1">
        <v>45909</v>
      </c>
      <c r="E23" s="1">
        <v>45982</v>
      </c>
      <c r="F23">
        <v>0.2</v>
      </c>
      <c r="G23">
        <v>0.29099144926489801</v>
      </c>
      <c r="H23">
        <v>3.7488444410991598E-2</v>
      </c>
      <c r="I23">
        <v>0</v>
      </c>
      <c r="J23">
        <v>0.83290629127856419</v>
      </c>
      <c r="K23">
        <v>8.2061166754770504E-3</v>
      </c>
      <c r="L23">
        <v>26.22876405742365</v>
      </c>
      <c r="M23">
        <v>-25.318627011669498</v>
      </c>
      <c r="N23">
        <v>33.27831787065908</v>
      </c>
    </row>
    <row r="24" spans="1:14" x14ac:dyDescent="0.2">
      <c r="A24">
        <v>215</v>
      </c>
      <c r="B24">
        <v>24.07</v>
      </c>
      <c r="C24">
        <v>234.35</v>
      </c>
      <c r="D24" s="1">
        <v>45909</v>
      </c>
      <c r="E24" s="1">
        <v>45982</v>
      </c>
      <c r="F24">
        <v>0.2</v>
      </c>
      <c r="G24">
        <v>0.26077585918884322</v>
      </c>
      <c r="H24">
        <v>3.7488444410991598E-2</v>
      </c>
      <c r="I24">
        <v>0</v>
      </c>
      <c r="J24">
        <v>0.8055316159428596</v>
      </c>
      <c r="K24">
        <v>1.00712240678322E-2</v>
      </c>
      <c r="L24">
        <v>28.847591181197629</v>
      </c>
      <c r="M24">
        <v>-24.981472693016869</v>
      </c>
      <c r="N24">
        <v>32.941266838445898</v>
      </c>
    </row>
    <row r="25" spans="1:14" x14ac:dyDescent="0.2">
      <c r="A25">
        <v>220</v>
      </c>
      <c r="B25">
        <v>20.3</v>
      </c>
      <c r="C25">
        <v>234.35</v>
      </c>
      <c r="D25" s="1">
        <v>45909</v>
      </c>
      <c r="E25" s="1">
        <v>45982</v>
      </c>
      <c r="F25">
        <v>0.2</v>
      </c>
      <c r="G25">
        <v>0.25793465000002708</v>
      </c>
      <c r="H25">
        <v>3.7488444410991598E-2</v>
      </c>
      <c r="I25">
        <v>0</v>
      </c>
      <c r="J25">
        <v>0.74871790112200487</v>
      </c>
      <c r="K25">
        <v>1.178715373930664E-2</v>
      </c>
      <c r="L25">
        <v>33.394776945814037</v>
      </c>
      <c r="M25">
        <v>-27.350958774386129</v>
      </c>
      <c r="N25">
        <v>31.03240802550798</v>
      </c>
    </row>
    <row r="26" spans="1:14" x14ac:dyDescent="0.2">
      <c r="A26">
        <v>225</v>
      </c>
      <c r="B26">
        <v>17.100000000000001</v>
      </c>
      <c r="C26">
        <v>234.35</v>
      </c>
      <c r="D26" s="1">
        <v>45909</v>
      </c>
      <c r="E26" s="1">
        <v>45982</v>
      </c>
      <c r="F26">
        <v>0.2</v>
      </c>
      <c r="G26">
        <v>0.26207685941350778</v>
      </c>
      <c r="H26">
        <v>3.7488444410991598E-2</v>
      </c>
      <c r="I26">
        <v>0</v>
      </c>
      <c r="J26">
        <v>0.6808084763358786</v>
      </c>
      <c r="K26">
        <v>1.300593611815894E-2</v>
      </c>
      <c r="L26">
        <v>37.439514096511743</v>
      </c>
      <c r="M26">
        <v>-29.87020960767504</v>
      </c>
      <c r="N26">
        <v>28.48949328585871</v>
      </c>
    </row>
    <row r="27" spans="1:14" x14ac:dyDescent="0.2">
      <c r="A27">
        <v>235</v>
      </c>
      <c r="B27">
        <v>10.85</v>
      </c>
      <c r="C27">
        <v>234.35</v>
      </c>
      <c r="D27" s="1">
        <v>45909</v>
      </c>
      <c r="E27" s="1">
        <v>45982</v>
      </c>
      <c r="F27">
        <v>0.2</v>
      </c>
      <c r="G27">
        <v>0.24676403564649541</v>
      </c>
      <c r="H27">
        <v>3.7488444410991598E-2</v>
      </c>
      <c r="I27">
        <v>0</v>
      </c>
      <c r="J27">
        <v>0.53904190262530194</v>
      </c>
      <c r="K27">
        <v>1.535189180131483E-2</v>
      </c>
      <c r="L27">
        <v>41.610571097728489</v>
      </c>
      <c r="M27">
        <v>-29.998939376336391</v>
      </c>
      <c r="N27">
        <v>23.094894014806751</v>
      </c>
    </row>
    <row r="28" spans="1:14" x14ac:dyDescent="0.2">
      <c r="A28">
        <v>240</v>
      </c>
      <c r="B28">
        <v>8.3000000000000007</v>
      </c>
      <c r="C28">
        <v>234.35</v>
      </c>
      <c r="D28" s="1">
        <v>45909</v>
      </c>
      <c r="E28" s="1">
        <v>45982</v>
      </c>
      <c r="F28">
        <v>0.2</v>
      </c>
      <c r="G28">
        <v>0.23999154871587849</v>
      </c>
      <c r="H28">
        <v>3.7488444410991598E-2</v>
      </c>
      <c r="I28">
        <v>0</v>
      </c>
      <c r="J28">
        <v>0.46078924365658352</v>
      </c>
      <c r="K28">
        <v>1.5784457952496059E-2</v>
      </c>
      <c r="L28">
        <v>41.608832705991667</v>
      </c>
      <c r="M28">
        <v>-28.70149204536159</v>
      </c>
      <c r="N28">
        <v>19.937191850184071</v>
      </c>
    </row>
    <row r="29" spans="1:14" x14ac:dyDescent="0.2">
      <c r="A29">
        <v>250</v>
      </c>
      <c r="B29">
        <v>4.4800000000000004</v>
      </c>
      <c r="C29">
        <v>234.35</v>
      </c>
      <c r="D29" s="1">
        <v>45909</v>
      </c>
      <c r="E29" s="1">
        <v>45982</v>
      </c>
      <c r="F29">
        <v>0.2</v>
      </c>
      <c r="G29">
        <v>0.2297036243928918</v>
      </c>
      <c r="H29">
        <v>3.7488444410991598E-2</v>
      </c>
      <c r="I29">
        <v>0</v>
      </c>
      <c r="J29">
        <v>0.30679923147928378</v>
      </c>
      <c r="K29">
        <v>1.458803041758832E-2</v>
      </c>
      <c r="L29">
        <v>36.806491341743261</v>
      </c>
      <c r="M29">
        <v>-23.663872092782789</v>
      </c>
      <c r="N29">
        <v>13.483679979432299</v>
      </c>
    </row>
    <row r="30" spans="1:14" x14ac:dyDescent="0.2">
      <c r="A30">
        <v>260</v>
      </c>
      <c r="B30">
        <v>2.2200000000000002</v>
      </c>
      <c r="C30">
        <v>234.35</v>
      </c>
      <c r="D30" s="1">
        <v>45909</v>
      </c>
      <c r="E30" s="1">
        <v>45982</v>
      </c>
      <c r="F30">
        <v>0.2</v>
      </c>
      <c r="G30">
        <v>0.22459118913151899</v>
      </c>
      <c r="H30">
        <v>3.7488444410991598E-2</v>
      </c>
      <c r="I30">
        <v>0</v>
      </c>
      <c r="J30">
        <v>0.18161220025306299</v>
      </c>
      <c r="K30">
        <v>1.121033797230743E-2</v>
      </c>
      <c r="L30">
        <v>27.654851578243331</v>
      </c>
      <c r="M30">
        <v>-17.039904558453529</v>
      </c>
      <c r="N30">
        <v>8.0681638258469732</v>
      </c>
    </row>
    <row r="31" spans="1:14" x14ac:dyDescent="0.2">
      <c r="A31">
        <v>265</v>
      </c>
      <c r="B31">
        <v>1.52</v>
      </c>
      <c r="C31">
        <v>234.35</v>
      </c>
      <c r="D31" s="1">
        <v>45909</v>
      </c>
      <c r="E31" s="1">
        <v>45982</v>
      </c>
      <c r="F31">
        <v>0.2</v>
      </c>
      <c r="G31">
        <v>0.22326772237229109</v>
      </c>
      <c r="H31">
        <v>3.7488444410991598E-2</v>
      </c>
      <c r="I31">
        <v>0</v>
      </c>
      <c r="J31">
        <v>0.13436482455081539</v>
      </c>
      <c r="K31">
        <v>9.2487985234051828E-3</v>
      </c>
      <c r="L31">
        <v>22.681468653261909</v>
      </c>
      <c r="M31">
        <v>-13.783568186957041</v>
      </c>
      <c r="N31">
        <v>5.9936793266720851</v>
      </c>
    </row>
    <row r="32" spans="1:14" x14ac:dyDescent="0.2">
      <c r="A32">
        <v>200</v>
      </c>
      <c r="B32">
        <v>33.65</v>
      </c>
      <c r="C32">
        <v>230.03</v>
      </c>
      <c r="D32" s="1">
        <v>45911</v>
      </c>
      <c r="E32" s="1">
        <v>45982</v>
      </c>
      <c r="F32">
        <v>0.194521</v>
      </c>
      <c r="G32">
        <v>0.31331680653787009</v>
      </c>
      <c r="H32">
        <v>3.7488444410991598E-2</v>
      </c>
      <c r="I32">
        <v>0</v>
      </c>
      <c r="J32">
        <v>0.87164598172617969</v>
      </c>
      <c r="K32">
        <v>6.5965256886888366E-3</v>
      </c>
      <c r="L32">
        <v>21.273277329042308</v>
      </c>
      <c r="M32">
        <v>-23.387658152380819</v>
      </c>
      <c r="N32">
        <v>32.456747990255742</v>
      </c>
    </row>
    <row r="33" spans="1:14" x14ac:dyDescent="0.2">
      <c r="A33">
        <v>210</v>
      </c>
      <c r="B33">
        <v>25.15</v>
      </c>
      <c r="C33">
        <v>230.03</v>
      </c>
      <c r="D33" s="1">
        <v>45911</v>
      </c>
      <c r="E33" s="1">
        <v>45982</v>
      </c>
      <c r="F33">
        <v>0.194521</v>
      </c>
      <c r="G33">
        <v>0.29158559711031778</v>
      </c>
      <c r="H33">
        <v>3.7488444410991598E-2</v>
      </c>
      <c r="I33">
        <v>0</v>
      </c>
      <c r="J33">
        <v>0.79656293337791584</v>
      </c>
      <c r="K33">
        <v>9.5608655453251808E-3</v>
      </c>
      <c r="L33">
        <v>28.69450460641583</v>
      </c>
      <c r="M33">
        <v>-27.432728965860061</v>
      </c>
      <c r="N33">
        <v>30.75053551986823</v>
      </c>
    </row>
    <row r="34" spans="1:14" x14ac:dyDescent="0.2">
      <c r="A34">
        <v>215</v>
      </c>
      <c r="B34">
        <v>21.01</v>
      </c>
      <c r="C34">
        <v>230.03</v>
      </c>
      <c r="D34" s="1">
        <v>45911</v>
      </c>
      <c r="E34" s="1">
        <v>45982</v>
      </c>
      <c r="F34">
        <v>0.194521</v>
      </c>
      <c r="G34">
        <v>0.27546618384705163</v>
      </c>
      <c r="H34">
        <v>3.7488444410991598E-2</v>
      </c>
      <c r="I34">
        <v>0</v>
      </c>
      <c r="J34">
        <v>0.75077996190689111</v>
      </c>
      <c r="K34">
        <v>1.135180652079908E-2</v>
      </c>
      <c r="L34">
        <v>32.186127358053668</v>
      </c>
      <c r="M34">
        <v>-28.47649469226161</v>
      </c>
      <c r="N34">
        <v>29.507262927132182</v>
      </c>
    </row>
    <row r="35" spans="1:14" x14ac:dyDescent="0.2">
      <c r="A35">
        <v>220</v>
      </c>
      <c r="B35">
        <v>17.5</v>
      </c>
      <c r="C35">
        <v>230.03</v>
      </c>
      <c r="D35" s="1">
        <v>45911</v>
      </c>
      <c r="E35" s="1">
        <v>45982</v>
      </c>
      <c r="F35">
        <v>0.194521</v>
      </c>
      <c r="G35">
        <v>0.27132077298602408</v>
      </c>
      <c r="H35">
        <v>3.7488444410991598E-2</v>
      </c>
      <c r="I35">
        <v>0</v>
      </c>
      <c r="J35">
        <v>0.68911054264987004</v>
      </c>
      <c r="K35">
        <v>1.283249304635142E-2</v>
      </c>
      <c r="L35">
        <v>35.836825804656598</v>
      </c>
      <c r="M35">
        <v>-30.27934196601915</v>
      </c>
      <c r="N35">
        <v>27.43059242351605</v>
      </c>
    </row>
    <row r="36" spans="1:14" x14ac:dyDescent="0.2">
      <c r="A36">
        <v>225</v>
      </c>
      <c r="B36">
        <v>14.1</v>
      </c>
      <c r="C36">
        <v>230.03</v>
      </c>
      <c r="D36" s="1">
        <v>45911</v>
      </c>
      <c r="E36" s="1">
        <v>45982</v>
      </c>
      <c r="F36">
        <v>0.194521</v>
      </c>
      <c r="G36">
        <v>0.26166076316793802</v>
      </c>
      <c r="H36">
        <v>3.7488444410991598E-2</v>
      </c>
      <c r="I36">
        <v>0</v>
      </c>
      <c r="J36">
        <v>0.62265938934370701</v>
      </c>
      <c r="K36">
        <v>1.431204325706135E-2</v>
      </c>
      <c r="L36">
        <v>38.545678639927416</v>
      </c>
      <c r="M36">
        <v>-30.76583858669774</v>
      </c>
      <c r="N36">
        <v>25.118562736953439</v>
      </c>
    </row>
    <row r="37" spans="1:14" x14ac:dyDescent="0.2">
      <c r="A37">
        <v>235</v>
      </c>
      <c r="B37">
        <v>8.5</v>
      </c>
      <c r="C37">
        <v>230.03</v>
      </c>
      <c r="D37" s="1">
        <v>45911</v>
      </c>
      <c r="E37" s="1">
        <v>45982</v>
      </c>
      <c r="F37">
        <v>0.194521</v>
      </c>
      <c r="G37">
        <v>0.24661214861462991</v>
      </c>
      <c r="H37">
        <v>3.7488444410991598E-2</v>
      </c>
      <c r="I37">
        <v>0</v>
      </c>
      <c r="J37">
        <v>0.47006782465665509</v>
      </c>
      <c r="K37">
        <v>1.590022172699343E-2</v>
      </c>
      <c r="L37">
        <v>40.360180512309292</v>
      </c>
      <c r="M37">
        <v>-29.319117547202179</v>
      </c>
      <c r="N37">
        <v>19.380069205508171</v>
      </c>
    </row>
    <row r="38" spans="1:14" x14ac:dyDescent="0.2">
      <c r="A38">
        <v>240</v>
      </c>
      <c r="B38">
        <v>6.3</v>
      </c>
      <c r="C38">
        <v>230.03</v>
      </c>
      <c r="D38" s="1">
        <v>45911</v>
      </c>
      <c r="E38" s="1">
        <v>45982</v>
      </c>
      <c r="F38">
        <v>0.194521</v>
      </c>
      <c r="G38">
        <v>0.23977551615583381</v>
      </c>
      <c r="H38">
        <v>3.7488444410991598E-2</v>
      </c>
      <c r="I38">
        <v>0</v>
      </c>
      <c r="J38">
        <v>0.3899758485397623</v>
      </c>
      <c r="K38">
        <v>1.57720531144253E-2</v>
      </c>
      <c r="L38">
        <v>38.924990737587279</v>
      </c>
      <c r="M38">
        <v>-27.117132033827531</v>
      </c>
      <c r="N38">
        <v>16.224246622535649</v>
      </c>
    </row>
    <row r="39" spans="1:14" x14ac:dyDescent="0.2">
      <c r="A39">
        <v>250</v>
      </c>
      <c r="B39">
        <v>3.25</v>
      </c>
      <c r="C39">
        <v>230.03</v>
      </c>
      <c r="D39" s="1">
        <v>45911</v>
      </c>
      <c r="E39" s="1">
        <v>45982</v>
      </c>
      <c r="F39">
        <v>0.194521</v>
      </c>
      <c r="G39">
        <v>0.2320945958161027</v>
      </c>
      <c r="H39">
        <v>3.7488444410991598E-2</v>
      </c>
      <c r="I39">
        <v>0</v>
      </c>
      <c r="J39">
        <v>0.24482579973386409</v>
      </c>
      <c r="K39">
        <v>1.334549600275798E-2</v>
      </c>
      <c r="L39">
        <v>31.881239675148311</v>
      </c>
      <c r="M39">
        <v>-21.009113093049109</v>
      </c>
      <c r="N39">
        <v>10.322700122484131</v>
      </c>
    </row>
    <row r="40" spans="1:14" x14ac:dyDescent="0.2">
      <c r="A40">
        <v>260</v>
      </c>
      <c r="B40">
        <v>1.57</v>
      </c>
      <c r="C40">
        <v>230.03</v>
      </c>
      <c r="D40" s="1">
        <v>45911</v>
      </c>
      <c r="E40" s="1">
        <v>45982</v>
      </c>
      <c r="F40">
        <v>0.194521</v>
      </c>
      <c r="G40">
        <v>0.22958756358201049</v>
      </c>
      <c r="H40">
        <v>3.7488444410991598E-2</v>
      </c>
      <c r="I40">
        <v>0</v>
      </c>
      <c r="J40">
        <v>0.13855126677934959</v>
      </c>
      <c r="K40">
        <v>9.4883288246766281E-3</v>
      </c>
      <c r="L40">
        <v>22.42195820665556</v>
      </c>
      <c r="M40">
        <v>-14.367932859738691</v>
      </c>
      <c r="N40">
        <v>5.8941706859030187</v>
      </c>
    </row>
    <row r="41" spans="1:14" x14ac:dyDescent="0.2">
      <c r="A41">
        <v>265</v>
      </c>
      <c r="B41">
        <v>1.0900000000000001</v>
      </c>
      <c r="C41">
        <v>230.03</v>
      </c>
      <c r="D41" s="1">
        <v>45911</v>
      </c>
      <c r="E41" s="1">
        <v>45982</v>
      </c>
      <c r="F41">
        <v>0.194521</v>
      </c>
      <c r="G41">
        <v>0.23054288109131341</v>
      </c>
      <c r="H41">
        <v>3.7488444410991598E-2</v>
      </c>
      <c r="I41">
        <v>0</v>
      </c>
      <c r="J41">
        <v>0.1021737925112234</v>
      </c>
      <c r="K41">
        <v>7.6218551396857329E-3</v>
      </c>
      <c r="L41">
        <v>18.086222069847238</v>
      </c>
      <c r="M41">
        <v>-11.55796666867279</v>
      </c>
      <c r="N41">
        <v>4.3598064658302533</v>
      </c>
    </row>
    <row r="42" spans="1:14" x14ac:dyDescent="0.2">
      <c r="A42">
        <v>200</v>
      </c>
      <c r="B42">
        <v>40.450000000000003</v>
      </c>
      <c r="C42">
        <v>237.88</v>
      </c>
      <c r="D42" s="1">
        <v>45918</v>
      </c>
      <c r="E42" s="1">
        <v>45982</v>
      </c>
      <c r="F42">
        <v>0.175342</v>
      </c>
      <c r="G42">
        <v>0.32358760090813132</v>
      </c>
      <c r="H42">
        <v>3.7488444410991598E-2</v>
      </c>
      <c r="I42">
        <v>0</v>
      </c>
      <c r="J42">
        <v>0.9186940227465572</v>
      </c>
      <c r="K42">
        <v>4.6690739068219267E-3</v>
      </c>
      <c r="L42">
        <v>14.99078709446319</v>
      </c>
      <c r="M42">
        <v>-20.508766836353821</v>
      </c>
      <c r="N42">
        <v>31.22646984161776</v>
      </c>
    </row>
    <row r="43" spans="1:14" x14ac:dyDescent="0.2">
      <c r="A43">
        <v>210</v>
      </c>
      <c r="B43">
        <v>31.4</v>
      </c>
      <c r="C43">
        <v>237.88</v>
      </c>
      <c r="D43" s="1">
        <v>45918</v>
      </c>
      <c r="E43" s="1">
        <v>45982</v>
      </c>
      <c r="F43">
        <v>0.175342</v>
      </c>
      <c r="G43">
        <v>0.30032097137160618</v>
      </c>
      <c r="H43">
        <v>3.7488444410991598E-2</v>
      </c>
      <c r="I43">
        <v>0</v>
      </c>
      <c r="J43">
        <v>0.86572841701217684</v>
      </c>
      <c r="K43">
        <v>7.2309875556833894E-3</v>
      </c>
      <c r="L43">
        <v>21.546914566875731</v>
      </c>
      <c r="M43">
        <v>-24.995695764864031</v>
      </c>
      <c r="N43">
        <v>30.60410076855138</v>
      </c>
    </row>
    <row r="44" spans="1:14" x14ac:dyDescent="0.2">
      <c r="A44">
        <v>215</v>
      </c>
      <c r="B44">
        <v>27</v>
      </c>
      <c r="C44">
        <v>237.88</v>
      </c>
      <c r="D44" s="1">
        <v>45918</v>
      </c>
      <c r="E44" s="1">
        <v>45982</v>
      </c>
      <c r="F44">
        <v>0.175342</v>
      </c>
      <c r="G44">
        <v>0.28599397776668212</v>
      </c>
      <c r="H44">
        <v>3.7488444410991598E-2</v>
      </c>
      <c r="I44">
        <v>0</v>
      </c>
      <c r="J44">
        <v>0.83127480985350821</v>
      </c>
      <c r="K44">
        <v>8.8400855763972712E-3</v>
      </c>
      <c r="L44">
        <v>25.085061667255591</v>
      </c>
      <c r="M44">
        <v>-26.858581110082309</v>
      </c>
      <c r="N44">
        <v>29.938533387224439</v>
      </c>
    </row>
    <row r="45" spans="1:14" x14ac:dyDescent="0.2">
      <c r="A45">
        <v>220</v>
      </c>
      <c r="B45">
        <v>22.6</v>
      </c>
      <c r="C45">
        <v>237.88</v>
      </c>
      <c r="D45" s="1">
        <v>45918</v>
      </c>
      <c r="E45" s="1">
        <v>45982</v>
      </c>
      <c r="F45">
        <v>0.175342</v>
      </c>
      <c r="G45">
        <v>0.26636864236131408</v>
      </c>
      <c r="H45">
        <v>3.7488444410991598E-2</v>
      </c>
      <c r="I45">
        <v>0</v>
      </c>
      <c r="J45">
        <v>0.79253673074221109</v>
      </c>
      <c r="K45">
        <v>1.078453124423101E-2</v>
      </c>
      <c r="L45">
        <v>28.502712076857811</v>
      </c>
      <c r="M45">
        <v>-27.87017871862189</v>
      </c>
      <c r="N45">
        <v>29.094259157810889</v>
      </c>
    </row>
    <row r="46" spans="1:14" x14ac:dyDescent="0.2">
      <c r="A46">
        <v>225</v>
      </c>
      <c r="B46">
        <v>18.93</v>
      </c>
      <c r="C46">
        <v>237.88</v>
      </c>
      <c r="D46" s="1">
        <v>45918</v>
      </c>
      <c r="E46" s="1">
        <v>45982</v>
      </c>
      <c r="F46">
        <v>0.175342</v>
      </c>
      <c r="G46">
        <v>0.26447005499615628</v>
      </c>
      <c r="H46">
        <v>3.7488444410991598E-2</v>
      </c>
      <c r="I46">
        <v>0</v>
      </c>
      <c r="J46">
        <v>0.731508899871539</v>
      </c>
      <c r="K46">
        <v>1.251596827596353E-2</v>
      </c>
      <c r="L46">
        <v>32.842996558169311</v>
      </c>
      <c r="M46">
        <v>-30.58246468699571</v>
      </c>
      <c r="N46">
        <v>27.192271810017029</v>
      </c>
    </row>
    <row r="47" spans="1:14" x14ac:dyDescent="0.2">
      <c r="A47">
        <v>235</v>
      </c>
      <c r="B47">
        <v>12.25</v>
      </c>
      <c r="C47">
        <v>237.88</v>
      </c>
      <c r="D47" s="1">
        <v>45918</v>
      </c>
      <c r="E47" s="1">
        <v>45982</v>
      </c>
      <c r="F47">
        <v>0.175342</v>
      </c>
      <c r="G47">
        <v>0.25116410226124669</v>
      </c>
      <c r="H47">
        <v>3.7488444410991598E-2</v>
      </c>
      <c r="I47">
        <v>0</v>
      </c>
      <c r="J47">
        <v>0.59130551615544691</v>
      </c>
      <c r="K47">
        <v>1.552651444258543E-2</v>
      </c>
      <c r="L47">
        <v>38.693084783568182</v>
      </c>
      <c r="M47">
        <v>-32.526335107817268</v>
      </c>
      <c r="N47">
        <v>22.515623468649711</v>
      </c>
    </row>
    <row r="48" spans="1:14" x14ac:dyDescent="0.2">
      <c r="A48">
        <v>240</v>
      </c>
      <c r="B48">
        <v>9.5</v>
      </c>
      <c r="C48">
        <v>237.88</v>
      </c>
      <c r="D48" s="1">
        <v>45918</v>
      </c>
      <c r="E48" s="1">
        <v>45982</v>
      </c>
      <c r="F48">
        <v>0.175342</v>
      </c>
      <c r="G48">
        <v>0.24571728337564369</v>
      </c>
      <c r="H48">
        <v>3.7488444410991598E-2</v>
      </c>
      <c r="I48">
        <v>0</v>
      </c>
      <c r="J48">
        <v>0.51160717048714266</v>
      </c>
      <c r="K48">
        <v>1.6292569544832339E-2</v>
      </c>
      <c r="L48">
        <v>39.721633886213468</v>
      </c>
      <c r="M48">
        <v>-32.0384017235884</v>
      </c>
      <c r="N48">
        <v>19.673567727980991</v>
      </c>
    </row>
    <row r="49" spans="1:14" x14ac:dyDescent="0.2">
      <c r="A49">
        <v>250</v>
      </c>
      <c r="B49">
        <v>5.2</v>
      </c>
      <c r="C49">
        <v>237.88</v>
      </c>
      <c r="D49" s="1">
        <v>45918</v>
      </c>
      <c r="E49" s="1">
        <v>45982</v>
      </c>
      <c r="F49">
        <v>0.175342</v>
      </c>
      <c r="G49">
        <v>0.23499646536520949</v>
      </c>
      <c r="H49">
        <v>3.7488444410991598E-2</v>
      </c>
      <c r="I49">
        <v>0</v>
      </c>
      <c r="J49">
        <v>0.34863289676450648</v>
      </c>
      <c r="K49">
        <v>1.580107105272208E-2</v>
      </c>
      <c r="L49">
        <v>36.842549149592777</v>
      </c>
      <c r="M49">
        <v>-27.60260115810863</v>
      </c>
      <c r="N49">
        <v>13.62982347478027</v>
      </c>
    </row>
    <row r="50" spans="1:14" x14ac:dyDescent="0.2">
      <c r="A50">
        <v>260</v>
      </c>
      <c r="B50">
        <v>2.61</v>
      </c>
      <c r="C50">
        <v>237.88</v>
      </c>
      <c r="D50" s="1">
        <v>45918</v>
      </c>
      <c r="E50" s="1">
        <v>45982</v>
      </c>
      <c r="F50">
        <v>0.175342</v>
      </c>
      <c r="G50">
        <v>0.23034192791660971</v>
      </c>
      <c r="H50">
        <v>3.7488444410991598E-2</v>
      </c>
      <c r="I50">
        <v>0</v>
      </c>
      <c r="J50">
        <v>0.2102732040283985</v>
      </c>
      <c r="K50">
        <v>1.2570532663883671E-2</v>
      </c>
      <c r="L50">
        <v>28.72952819505862</v>
      </c>
      <c r="M50">
        <v>-20.647911917666669</v>
      </c>
      <c r="N50">
        <v>8.3129273585952692</v>
      </c>
    </row>
    <row r="51" spans="1:14" x14ac:dyDescent="0.2">
      <c r="A51">
        <v>265</v>
      </c>
      <c r="B51">
        <v>1.81</v>
      </c>
      <c r="C51">
        <v>237.88</v>
      </c>
      <c r="D51" s="1">
        <v>45918</v>
      </c>
      <c r="E51" s="1">
        <v>45982</v>
      </c>
      <c r="F51">
        <v>0.175342</v>
      </c>
      <c r="G51">
        <v>0.2298773740712764</v>
      </c>
      <c r="H51">
        <v>3.7488444410991598E-2</v>
      </c>
      <c r="I51">
        <v>0</v>
      </c>
      <c r="J51">
        <v>0.15740462763283919</v>
      </c>
      <c r="K51">
        <v>1.051258149832697E-2</v>
      </c>
      <c r="L51">
        <v>23.97769428889897</v>
      </c>
      <c r="M51">
        <v>-17.053494143760378</v>
      </c>
      <c r="N51">
        <v>6.2480338709009979</v>
      </c>
    </row>
    <row r="52" spans="1:14" x14ac:dyDescent="0.2">
      <c r="A52">
        <v>200</v>
      </c>
      <c r="B52">
        <v>57.1</v>
      </c>
      <c r="C52">
        <v>256.87</v>
      </c>
      <c r="D52" s="1">
        <v>45925</v>
      </c>
      <c r="E52" s="1">
        <v>45982</v>
      </c>
      <c r="F52">
        <v>0.156164</v>
      </c>
      <c r="G52">
        <v>9.1847263915812771E-2</v>
      </c>
      <c r="H52">
        <v>3.7488444410991598E-2</v>
      </c>
      <c r="I52">
        <v>0</v>
      </c>
      <c r="J52">
        <v>0.99999999999924871</v>
      </c>
      <c r="K52">
        <v>5.8103151781929011E-13</v>
      </c>
      <c r="L52">
        <v>5.4988720003538388E-10</v>
      </c>
      <c r="M52">
        <v>-7.4539230568177279</v>
      </c>
      <c r="N52">
        <v>31.05048658349601</v>
      </c>
    </row>
    <row r="53" spans="1:14" x14ac:dyDescent="0.2">
      <c r="A53">
        <v>210</v>
      </c>
      <c r="B53">
        <v>48.17</v>
      </c>
      <c r="C53">
        <v>256.87</v>
      </c>
      <c r="D53" s="1">
        <v>45925</v>
      </c>
      <c r="E53" s="1">
        <v>45982</v>
      </c>
      <c r="F53">
        <v>0.156164</v>
      </c>
      <c r="G53">
        <v>0.22724172929191611</v>
      </c>
      <c r="H53">
        <v>3.7488444410991598E-2</v>
      </c>
      <c r="I53">
        <v>0</v>
      </c>
      <c r="J53">
        <v>0.99070220429080968</v>
      </c>
      <c r="K53">
        <v>1.084192897148187E-3</v>
      </c>
      <c r="L53">
        <v>2.5386471348255428</v>
      </c>
      <c r="M53">
        <v>-9.5813573939296148</v>
      </c>
      <c r="N53">
        <v>32.218456448452407</v>
      </c>
    </row>
    <row r="54" spans="1:14" x14ac:dyDescent="0.2">
      <c r="A54">
        <v>215</v>
      </c>
      <c r="B54">
        <v>40.950000000000003</v>
      </c>
      <c r="C54">
        <v>256.87</v>
      </c>
      <c r="D54" s="1">
        <v>45925</v>
      </c>
      <c r="E54" s="1">
        <v>45982</v>
      </c>
      <c r="F54">
        <v>0.156164</v>
      </c>
      <c r="G54">
        <v>6.4217614000000006E-2</v>
      </c>
      <c r="H54">
        <v>3.7488444410991598E-2</v>
      </c>
      <c r="I54">
        <v>0</v>
      </c>
      <c r="J54">
        <v>0.99999999999979894</v>
      </c>
      <c r="K54">
        <v>2.2784571961541069E-13</v>
      </c>
      <c r="L54">
        <v>1.5076576493460999E-10</v>
      </c>
      <c r="M54">
        <v>-8.0129672859420946</v>
      </c>
      <c r="N54">
        <v>33.379273077282683</v>
      </c>
    </row>
    <row r="55" spans="1:14" x14ac:dyDescent="0.2">
      <c r="A55">
        <v>220</v>
      </c>
      <c r="B55">
        <v>39.5</v>
      </c>
      <c r="C55">
        <v>256.87</v>
      </c>
      <c r="D55" s="1">
        <v>45925</v>
      </c>
      <c r="E55" s="1">
        <v>45982</v>
      </c>
      <c r="F55">
        <v>0.156164</v>
      </c>
      <c r="G55">
        <v>0.31379640154850241</v>
      </c>
      <c r="H55">
        <v>3.7488444410991598E-2</v>
      </c>
      <c r="I55">
        <v>0</v>
      </c>
      <c r="J55">
        <v>0.91287944425297995</v>
      </c>
      <c r="K55">
        <v>4.9761005123728774E-3</v>
      </c>
      <c r="L55">
        <v>16.089583393123281</v>
      </c>
      <c r="M55">
        <v>-23.47515023936548</v>
      </c>
      <c r="N55">
        <v>30.450628035588881</v>
      </c>
    </row>
    <row r="56" spans="1:14" x14ac:dyDescent="0.2">
      <c r="A56">
        <v>225</v>
      </c>
      <c r="B56">
        <v>34.450000000000003</v>
      </c>
      <c r="C56">
        <v>256.87</v>
      </c>
      <c r="D56" s="1">
        <v>45925</v>
      </c>
      <c r="E56" s="1">
        <v>45982</v>
      </c>
      <c r="F56">
        <v>0.156164</v>
      </c>
      <c r="G56">
        <v>0.27569945193998557</v>
      </c>
      <c r="H56">
        <v>3.7488444410991598E-2</v>
      </c>
      <c r="I56">
        <v>0</v>
      </c>
      <c r="J56">
        <v>0.90726307802093387</v>
      </c>
      <c r="K56">
        <v>5.9328839267145748E-3</v>
      </c>
      <c r="L56">
        <v>16.85425073361645</v>
      </c>
      <c r="M56">
        <v>-22.3228083426404</v>
      </c>
      <c r="N56">
        <v>31.013962174984869</v>
      </c>
    </row>
    <row r="57" spans="1:14" x14ac:dyDescent="0.2">
      <c r="A57">
        <v>235</v>
      </c>
      <c r="B57">
        <v>26.28</v>
      </c>
      <c r="C57">
        <v>256.87</v>
      </c>
      <c r="D57" s="1">
        <v>45925</v>
      </c>
      <c r="E57" s="1">
        <v>45982</v>
      </c>
      <c r="F57">
        <v>0.156164</v>
      </c>
      <c r="G57">
        <v>0.28365127680284219</v>
      </c>
      <c r="H57">
        <v>3.7488444410991598E-2</v>
      </c>
      <c r="I57">
        <v>0</v>
      </c>
      <c r="J57">
        <v>0.81650510782147578</v>
      </c>
      <c r="K57">
        <v>9.2235930930729716E-3</v>
      </c>
      <c r="L57">
        <v>26.958304483280131</v>
      </c>
      <c r="M57">
        <v>-31.360567032560599</v>
      </c>
      <c r="N57">
        <v>28.64917078812682</v>
      </c>
    </row>
    <row r="58" spans="1:14" x14ac:dyDescent="0.2">
      <c r="A58">
        <v>240</v>
      </c>
      <c r="B58">
        <v>22.15</v>
      </c>
      <c r="C58">
        <v>256.87</v>
      </c>
      <c r="D58" s="1">
        <v>45925</v>
      </c>
      <c r="E58" s="1">
        <v>45982</v>
      </c>
      <c r="F58">
        <v>0.156164</v>
      </c>
      <c r="G58">
        <v>0.27174559011955851</v>
      </c>
      <c r="H58">
        <v>3.7488444410991598E-2</v>
      </c>
      <c r="I58">
        <v>0</v>
      </c>
      <c r="J58">
        <v>0.77058993119599428</v>
      </c>
      <c r="K58">
        <v>1.0992070851152421E-2</v>
      </c>
      <c r="L58">
        <v>30.7786608447358</v>
      </c>
      <c r="M58">
        <v>-33.369575993745563</v>
      </c>
      <c r="N58">
        <v>27.452293753066389</v>
      </c>
    </row>
    <row r="59" spans="1:14" x14ac:dyDescent="0.2">
      <c r="A59">
        <v>250</v>
      </c>
      <c r="B59">
        <v>15.2</v>
      </c>
      <c r="C59">
        <v>256.87</v>
      </c>
      <c r="D59" s="1">
        <v>45925</v>
      </c>
      <c r="E59" s="1">
        <v>45982</v>
      </c>
      <c r="F59">
        <v>0.156164</v>
      </c>
      <c r="G59">
        <v>0.2640670992345997</v>
      </c>
      <c r="H59">
        <v>3.7488444410991598E-2</v>
      </c>
      <c r="I59">
        <v>0</v>
      </c>
      <c r="J59">
        <v>0.64358635427004995</v>
      </c>
      <c r="K59">
        <v>1.390833449515572E-2</v>
      </c>
      <c r="L59">
        <v>37.844007304558701</v>
      </c>
      <c r="M59">
        <v>-37.62404524023556</v>
      </c>
      <c r="N59">
        <v>23.443031540528761</v>
      </c>
    </row>
    <row r="60" spans="1:14" x14ac:dyDescent="0.2">
      <c r="A60">
        <v>260</v>
      </c>
      <c r="B60">
        <v>9.5500000000000007</v>
      </c>
      <c r="C60">
        <v>256.87</v>
      </c>
      <c r="D60" s="1">
        <v>45925</v>
      </c>
      <c r="E60" s="1">
        <v>45982</v>
      </c>
      <c r="F60">
        <v>0.156164</v>
      </c>
      <c r="G60">
        <v>0.25454734726256872</v>
      </c>
      <c r="H60">
        <v>3.7488444410991598E-2</v>
      </c>
      <c r="I60">
        <v>0</v>
      </c>
      <c r="J60">
        <v>0.49524928843756449</v>
      </c>
      <c r="K60">
        <v>1.543856206228209E-2</v>
      </c>
      <c r="L60">
        <v>40.493295184859427</v>
      </c>
      <c r="M60">
        <v>-37.413105097205147</v>
      </c>
      <c r="N60">
        <v>18.3749878025058</v>
      </c>
    </row>
    <row r="61" spans="1:14" x14ac:dyDescent="0.2">
      <c r="A61">
        <v>265</v>
      </c>
      <c r="B61">
        <v>7.35</v>
      </c>
      <c r="C61">
        <v>256.87</v>
      </c>
      <c r="D61" s="1">
        <v>45925</v>
      </c>
      <c r="E61" s="1">
        <v>45982</v>
      </c>
      <c r="F61">
        <v>0.156164</v>
      </c>
      <c r="G61">
        <v>0.25145907909547421</v>
      </c>
      <c r="H61">
        <v>3.7488444410991598E-2</v>
      </c>
      <c r="I61">
        <v>0</v>
      </c>
      <c r="J61">
        <v>0.41879731316232338</v>
      </c>
      <c r="K61">
        <v>1.530438379662173E-2</v>
      </c>
      <c r="L61">
        <v>39.654352686268993</v>
      </c>
      <c r="M61">
        <v>-35.683536902341856</v>
      </c>
      <c r="N61">
        <v>15.65176581018935</v>
      </c>
    </row>
    <row r="62" spans="1:14" x14ac:dyDescent="0.2">
      <c r="A62">
        <v>200</v>
      </c>
      <c r="B62">
        <v>55.7</v>
      </c>
      <c r="C62">
        <v>254.63</v>
      </c>
      <c r="D62" s="1">
        <v>45930</v>
      </c>
      <c r="E62" s="1">
        <v>45982</v>
      </c>
      <c r="F62">
        <v>0.14246600000000001</v>
      </c>
      <c r="G62">
        <v>0.10423210400000001</v>
      </c>
      <c r="H62">
        <v>3.7488444410991598E-2</v>
      </c>
      <c r="I62">
        <v>0</v>
      </c>
      <c r="J62">
        <v>0.99999999984505072</v>
      </c>
      <c r="K62">
        <v>9.9695904109990131E-11</v>
      </c>
      <c r="L62">
        <v>9.5986286816576582E-8</v>
      </c>
      <c r="M62">
        <v>-7.4577517873103991</v>
      </c>
      <c r="N62">
        <v>28.341428347371469</v>
      </c>
    </row>
    <row r="63" spans="1:14" x14ac:dyDescent="0.2">
      <c r="A63">
        <v>210</v>
      </c>
      <c r="B63">
        <v>45.15</v>
      </c>
      <c r="C63">
        <v>254.63</v>
      </c>
      <c r="D63" s="1">
        <v>45930</v>
      </c>
      <c r="E63" s="1">
        <v>45982</v>
      </c>
      <c r="F63">
        <v>0.14246600000000001</v>
      </c>
      <c r="G63">
        <v>7.5745163000000004E-2</v>
      </c>
      <c r="H63">
        <v>3.7488444410991598E-2</v>
      </c>
      <c r="I63">
        <v>0</v>
      </c>
      <c r="J63">
        <v>0.99999999999805911</v>
      </c>
      <c r="K63">
        <v>1.8876481429622121E-12</v>
      </c>
      <c r="L63">
        <v>1.3207065161496509E-9</v>
      </c>
      <c r="M63">
        <v>-7.8306393417020059</v>
      </c>
      <c r="N63">
        <v>29.7584997706068</v>
      </c>
    </row>
    <row r="64" spans="1:14" x14ac:dyDescent="0.2">
      <c r="A64">
        <v>215</v>
      </c>
      <c r="B64">
        <v>41.22</v>
      </c>
      <c r="C64">
        <v>254.63</v>
      </c>
      <c r="D64" s="1">
        <v>45930</v>
      </c>
      <c r="E64" s="1">
        <v>45982</v>
      </c>
      <c r="F64">
        <v>0.14246600000000001</v>
      </c>
      <c r="G64">
        <v>0.27283159760140319</v>
      </c>
      <c r="H64">
        <v>3.7488444410991598E-2</v>
      </c>
      <c r="I64">
        <v>0</v>
      </c>
      <c r="J64">
        <v>0.95960691392982422</v>
      </c>
      <c r="K64">
        <v>3.3125712190325762E-3</v>
      </c>
      <c r="L64">
        <v>8.348150333390965</v>
      </c>
      <c r="M64">
        <v>-15.608453058269429</v>
      </c>
      <c r="N64">
        <v>28.938364720288639</v>
      </c>
    </row>
    <row r="65" spans="1:14" x14ac:dyDescent="0.2">
      <c r="A65">
        <v>220</v>
      </c>
      <c r="B65">
        <v>37.32</v>
      </c>
      <c r="C65">
        <v>254.63</v>
      </c>
      <c r="D65" s="1">
        <v>45930</v>
      </c>
      <c r="E65" s="1">
        <v>45982</v>
      </c>
      <c r="F65">
        <v>0.14246600000000001</v>
      </c>
      <c r="G65">
        <v>0.32557174274567302</v>
      </c>
      <c r="H65">
        <v>3.7488444410991598E-2</v>
      </c>
      <c r="I65">
        <v>0</v>
      </c>
      <c r="J65">
        <v>0.90225274484194573</v>
      </c>
      <c r="K65">
        <v>5.5159562288892763E-3</v>
      </c>
      <c r="L65">
        <v>16.58814742404088</v>
      </c>
      <c r="M65">
        <v>-26.167658159001739</v>
      </c>
      <c r="N65">
        <v>27.41339552876876</v>
      </c>
    </row>
    <row r="66" spans="1:14" x14ac:dyDescent="0.2">
      <c r="A66">
        <v>225</v>
      </c>
      <c r="B66">
        <v>33</v>
      </c>
      <c r="C66">
        <v>254.63</v>
      </c>
      <c r="D66" s="1">
        <v>45930</v>
      </c>
      <c r="E66" s="1">
        <v>45982</v>
      </c>
      <c r="F66">
        <v>0.14246600000000001</v>
      </c>
      <c r="G66">
        <v>0.32338111067812703</v>
      </c>
      <c r="H66">
        <v>3.7488444410991598E-2</v>
      </c>
      <c r="I66">
        <v>0</v>
      </c>
      <c r="J66">
        <v>0.86828480625895121</v>
      </c>
      <c r="K66">
        <v>6.868427738608799E-3</v>
      </c>
      <c r="L66">
        <v>20.516456452333522</v>
      </c>
      <c r="M66">
        <v>-30.336227424122381</v>
      </c>
      <c r="N66">
        <v>26.796623722881481</v>
      </c>
    </row>
    <row r="67" spans="1:14" x14ac:dyDescent="0.2">
      <c r="A67">
        <v>235</v>
      </c>
      <c r="B67">
        <v>23.4</v>
      </c>
      <c r="C67">
        <v>254.63</v>
      </c>
      <c r="D67" s="1">
        <v>45930</v>
      </c>
      <c r="E67" s="1">
        <v>45982</v>
      </c>
      <c r="F67">
        <v>0.14246600000000001</v>
      </c>
      <c r="G67">
        <v>0.25957384237750791</v>
      </c>
      <c r="H67">
        <v>3.7488444410991598E-2</v>
      </c>
      <c r="I67">
        <v>0</v>
      </c>
      <c r="J67">
        <v>0.82182404863564051</v>
      </c>
      <c r="K67">
        <v>1.045092878993713E-2</v>
      </c>
      <c r="L67">
        <v>25.057987333317431</v>
      </c>
      <c r="M67">
        <v>-29.79553789166334</v>
      </c>
      <c r="N67">
        <v>26.478881417779011</v>
      </c>
    </row>
    <row r="68" spans="1:14" x14ac:dyDescent="0.2">
      <c r="A68">
        <v>240</v>
      </c>
      <c r="B68">
        <v>20.010000000000002</v>
      </c>
      <c r="C68">
        <v>254.63</v>
      </c>
      <c r="D68" s="1">
        <v>45930</v>
      </c>
      <c r="E68" s="1">
        <v>45982</v>
      </c>
      <c r="F68">
        <v>0.14246600000000001</v>
      </c>
      <c r="G68">
        <v>0.27294510848697501</v>
      </c>
      <c r="H68">
        <v>3.7488444410991598E-2</v>
      </c>
      <c r="I68">
        <v>0</v>
      </c>
      <c r="J68">
        <v>0.75102532541808986</v>
      </c>
      <c r="K68">
        <v>1.208740102916357E-2</v>
      </c>
      <c r="L68">
        <v>30.474642366361291</v>
      </c>
      <c r="M68">
        <v>-35.611500918327224</v>
      </c>
      <c r="N68">
        <v>24.393538350397879</v>
      </c>
    </row>
    <row r="69" spans="1:14" x14ac:dyDescent="0.2">
      <c r="A69">
        <v>250</v>
      </c>
      <c r="B69">
        <v>13.1</v>
      </c>
      <c r="C69">
        <v>254.63</v>
      </c>
      <c r="D69" s="1">
        <v>45930</v>
      </c>
      <c r="E69" s="1">
        <v>45982</v>
      </c>
      <c r="F69">
        <v>0.14246600000000001</v>
      </c>
      <c r="G69">
        <v>0.25960680747925158</v>
      </c>
      <c r="H69">
        <v>3.7488444410991598E-2</v>
      </c>
      <c r="I69">
        <v>0</v>
      </c>
      <c r="J69">
        <v>0.61438766273248879</v>
      </c>
      <c r="K69">
        <v>1.5327424732705991E-2</v>
      </c>
      <c r="L69">
        <v>36.754933348748359</v>
      </c>
      <c r="M69">
        <v>-38.86174958440175</v>
      </c>
      <c r="N69">
        <v>20.42129449298508</v>
      </c>
    </row>
    <row r="70" spans="1:14" x14ac:dyDescent="0.2">
      <c r="A70">
        <v>260</v>
      </c>
      <c r="B70">
        <v>7.74</v>
      </c>
      <c r="C70">
        <v>254.63</v>
      </c>
      <c r="D70" s="1">
        <v>45930</v>
      </c>
      <c r="E70" s="1">
        <v>45982</v>
      </c>
      <c r="F70">
        <v>0.14246600000000001</v>
      </c>
      <c r="G70">
        <v>0.24856147254681329</v>
      </c>
      <c r="H70">
        <v>3.7488444410991598E-2</v>
      </c>
      <c r="I70">
        <v>0</v>
      </c>
      <c r="J70">
        <v>0.45279014373857668</v>
      </c>
      <c r="K70">
        <v>1.6582725206729518E-2</v>
      </c>
      <c r="L70">
        <v>38.07326206297968</v>
      </c>
      <c r="M70">
        <v>-37.245379878356502</v>
      </c>
      <c r="N70">
        <v>15.3227816533257</v>
      </c>
    </row>
    <row r="71" spans="1:14" x14ac:dyDescent="0.2">
      <c r="A71">
        <v>265</v>
      </c>
      <c r="B71">
        <v>5.76</v>
      </c>
      <c r="C71">
        <v>254.63</v>
      </c>
      <c r="D71" s="1">
        <v>45930</v>
      </c>
      <c r="E71" s="1">
        <v>45982</v>
      </c>
      <c r="F71">
        <v>0.14246600000000001</v>
      </c>
      <c r="G71">
        <v>0.24565528536272971</v>
      </c>
      <c r="H71">
        <v>3.7488444410991598E-2</v>
      </c>
      <c r="I71">
        <v>0</v>
      </c>
      <c r="J71">
        <v>0.37200198097229359</v>
      </c>
      <c r="K71">
        <v>1.6019999049187428E-2</v>
      </c>
      <c r="L71">
        <v>36.351218198720538</v>
      </c>
      <c r="M71">
        <v>-34.675430357806754</v>
      </c>
      <c r="N71">
        <v>12.6741834417438</v>
      </c>
    </row>
    <row r="72" spans="1:14" x14ac:dyDescent="0.2">
      <c r="A72">
        <v>200</v>
      </c>
      <c r="B72">
        <v>57.3</v>
      </c>
      <c r="C72">
        <v>257.13</v>
      </c>
      <c r="D72" s="1">
        <v>45932</v>
      </c>
      <c r="E72" s="1">
        <v>45982</v>
      </c>
      <c r="F72">
        <v>0.136986</v>
      </c>
      <c r="G72">
        <v>9.9423740999999996E-2</v>
      </c>
      <c r="H72">
        <v>3.7488444410991598E-2</v>
      </c>
      <c r="I72">
        <v>0</v>
      </c>
      <c r="J72">
        <v>0.9999999999985868</v>
      </c>
      <c r="K72">
        <v>1.0639664147123009E-12</v>
      </c>
      <c r="L72">
        <v>9.5807543162806637E-10</v>
      </c>
      <c r="M72">
        <v>-7.4592840071303748</v>
      </c>
      <c r="N72">
        <v>27.256865282293148</v>
      </c>
    </row>
    <row r="73" spans="1:14" x14ac:dyDescent="0.2">
      <c r="A73">
        <v>210</v>
      </c>
      <c r="B73">
        <v>47.29</v>
      </c>
      <c r="C73">
        <v>257.13</v>
      </c>
      <c r="D73" s="1">
        <v>45932</v>
      </c>
      <c r="E73" s="1">
        <v>45982</v>
      </c>
      <c r="F73">
        <v>0.136986</v>
      </c>
      <c r="G73">
        <v>6.8979994000000003E-2</v>
      </c>
      <c r="H73">
        <v>3.7488444410991598E-2</v>
      </c>
      <c r="I73">
        <v>0</v>
      </c>
      <c r="J73">
        <v>0.99999999999999978</v>
      </c>
      <c r="K73">
        <v>2.3960106809869819E-16</v>
      </c>
      <c r="L73">
        <v>1.496902749372094E-13</v>
      </c>
      <c r="M73">
        <v>-7.8322482071362387</v>
      </c>
      <c r="N73">
        <v>28.619708546460341</v>
      </c>
    </row>
    <row r="74" spans="1:14" x14ac:dyDescent="0.2">
      <c r="A74">
        <v>215</v>
      </c>
      <c r="B74">
        <v>42.3</v>
      </c>
      <c r="C74">
        <v>257.13</v>
      </c>
      <c r="D74" s="1">
        <v>45932</v>
      </c>
      <c r="E74" s="1">
        <v>45982</v>
      </c>
      <c r="F74">
        <v>0.136986</v>
      </c>
      <c r="G74">
        <v>6.8434663000000007E-2</v>
      </c>
      <c r="H74">
        <v>3.7488444410991598E-2</v>
      </c>
      <c r="I74">
        <v>0</v>
      </c>
      <c r="J74">
        <v>0.99999999999983336</v>
      </c>
      <c r="K74">
        <v>1.896198591343326E-13</v>
      </c>
      <c r="L74">
        <v>1.1752807872550631E-10</v>
      </c>
      <c r="M74">
        <v>-8.0187303073338594</v>
      </c>
      <c r="N74">
        <v>29.301130178513031</v>
      </c>
    </row>
    <row r="75" spans="1:14" x14ac:dyDescent="0.2">
      <c r="A75">
        <v>220</v>
      </c>
      <c r="B75">
        <v>37.65</v>
      </c>
      <c r="C75">
        <v>257.13</v>
      </c>
      <c r="D75" s="1">
        <v>45932</v>
      </c>
      <c r="E75" s="1">
        <v>45982</v>
      </c>
      <c r="F75">
        <v>0.136986</v>
      </c>
      <c r="G75">
        <v>2.3046166E-2</v>
      </c>
      <c r="H75">
        <v>3.7488444410991598E-2</v>
      </c>
      <c r="I75">
        <v>0</v>
      </c>
      <c r="J75">
        <v>1</v>
      </c>
      <c r="K75">
        <v>5.9677048939630284E-79</v>
      </c>
      <c r="L75">
        <v>1.2456261263188301E-76</v>
      </c>
      <c r="M75">
        <v>-8.2052124074760222</v>
      </c>
      <c r="N75">
        <v>29.982551810577501</v>
      </c>
    </row>
    <row r="76" spans="1:14" x14ac:dyDescent="0.2">
      <c r="A76">
        <v>225</v>
      </c>
      <c r="B76">
        <v>32.270000000000003</v>
      </c>
      <c r="C76">
        <v>257.13</v>
      </c>
      <c r="D76" s="1">
        <v>45932</v>
      </c>
      <c r="E76" s="1">
        <v>45982</v>
      </c>
      <c r="F76">
        <v>0.136986</v>
      </c>
      <c r="G76">
        <v>5.2999345000000003E-2</v>
      </c>
      <c r="H76">
        <v>3.7488444410991598E-2</v>
      </c>
      <c r="I76">
        <v>0</v>
      </c>
      <c r="J76">
        <v>0.99999999999926004</v>
      </c>
      <c r="K76">
        <v>1.058146122431557E-12</v>
      </c>
      <c r="L76">
        <v>5.0792294390295474E-10</v>
      </c>
      <c r="M76">
        <v>-8.3916945077370375</v>
      </c>
      <c r="N76">
        <v>30.663973442609951</v>
      </c>
    </row>
    <row r="77" spans="1:14" x14ac:dyDescent="0.2">
      <c r="A77">
        <v>235</v>
      </c>
      <c r="B77">
        <v>22.5</v>
      </c>
      <c r="C77">
        <v>257.13</v>
      </c>
      <c r="D77" s="1">
        <v>45932</v>
      </c>
      <c r="E77" s="1">
        <v>45982</v>
      </c>
      <c r="F77">
        <v>0.136986</v>
      </c>
      <c r="G77">
        <v>3.9955802226131001E-2</v>
      </c>
      <c r="H77">
        <v>3.7488444410991598E-2</v>
      </c>
      <c r="I77">
        <v>0</v>
      </c>
      <c r="J77">
        <v>0.99999999994038113</v>
      </c>
      <c r="K77">
        <v>1.033054200506669E-10</v>
      </c>
      <c r="L77">
        <v>3.7383903485203453E-8</v>
      </c>
      <c r="M77">
        <v>-8.7646587128618272</v>
      </c>
      <c r="N77">
        <v>32.026816704648652</v>
      </c>
    </row>
    <row r="78" spans="1:14" x14ac:dyDescent="0.2">
      <c r="A78">
        <v>240</v>
      </c>
      <c r="B78">
        <v>17.239999999999998</v>
      </c>
      <c r="C78">
        <v>257.13</v>
      </c>
      <c r="D78" s="1">
        <v>45932</v>
      </c>
      <c r="E78" s="1">
        <v>45982</v>
      </c>
      <c r="F78">
        <v>0.136986</v>
      </c>
      <c r="G78">
        <v>2.7214208264938439E-2</v>
      </c>
      <c r="H78">
        <v>3.7488444410991598E-2</v>
      </c>
      <c r="I78">
        <v>0</v>
      </c>
      <c r="J78">
        <v>0.99999999999990774</v>
      </c>
      <c r="K78">
        <v>2.6675897279288879E-13</v>
      </c>
      <c r="L78">
        <v>6.5750101035227366E-11</v>
      </c>
      <c r="M78">
        <v>-8.951140808161302</v>
      </c>
      <c r="N78">
        <v>32.70823833880857</v>
      </c>
    </row>
    <row r="79" spans="1:14" x14ac:dyDescent="0.2">
      <c r="A79">
        <v>250</v>
      </c>
      <c r="B79">
        <v>7.6</v>
      </c>
      <c r="C79">
        <v>257.13</v>
      </c>
      <c r="D79" s="1">
        <v>45932</v>
      </c>
      <c r="E79" s="1">
        <v>45982</v>
      </c>
      <c r="F79">
        <v>0.136986</v>
      </c>
      <c r="G79">
        <v>1.1554603E-2</v>
      </c>
      <c r="H79">
        <v>3.7488444410991598E-2</v>
      </c>
      <c r="I79">
        <v>0</v>
      </c>
      <c r="J79">
        <v>0.99999999999999634</v>
      </c>
      <c r="K79">
        <v>2.6358392890752691E-14</v>
      </c>
      <c r="L79">
        <v>2.758389808598869E-12</v>
      </c>
      <c r="M79">
        <v>-9.3241050084955592</v>
      </c>
      <c r="N79">
        <v>34.071081602928849</v>
      </c>
    </row>
    <row r="80" spans="1:14" x14ac:dyDescent="0.2">
      <c r="A80">
        <v>260</v>
      </c>
      <c r="B80">
        <v>0.43</v>
      </c>
      <c r="C80">
        <v>257.13</v>
      </c>
      <c r="D80" s="1">
        <v>45932</v>
      </c>
      <c r="E80" s="1">
        <v>45982</v>
      </c>
      <c r="F80">
        <v>0.136986</v>
      </c>
      <c r="G80">
        <v>2.678222034469821E-2</v>
      </c>
      <c r="H80">
        <v>3.7488444410991598E-2</v>
      </c>
      <c r="I80">
        <v>0</v>
      </c>
      <c r="J80">
        <v>0.27533675415531278</v>
      </c>
      <c r="K80">
        <v>0.13099173961445459</v>
      </c>
      <c r="L80">
        <v>31.774020588166682</v>
      </c>
      <c r="M80">
        <v>-5.7440416273202537</v>
      </c>
      <c r="N80">
        <v>9.6393403813659315</v>
      </c>
    </row>
    <row r="81" spans="1:14" x14ac:dyDescent="0.2">
      <c r="A81">
        <v>265</v>
      </c>
      <c r="B81">
        <v>0.05</v>
      </c>
      <c r="C81">
        <v>257.13</v>
      </c>
      <c r="D81" s="1">
        <v>45932</v>
      </c>
      <c r="E81" s="1">
        <v>45982</v>
      </c>
      <c r="F81">
        <v>0.136986</v>
      </c>
      <c r="G81">
        <v>3.7325992729385138E-2</v>
      </c>
      <c r="H81">
        <v>3.7488444410991598E-2</v>
      </c>
      <c r="I81">
        <v>0</v>
      </c>
      <c r="J81">
        <v>3.5643827672678922E-2</v>
      </c>
      <c r="K81">
        <v>2.2080143580571081E-2</v>
      </c>
      <c r="L81">
        <v>7.4644006901930551</v>
      </c>
      <c r="M81">
        <v>-1.3586620645360441</v>
      </c>
      <c r="N81">
        <v>1.2486407308255301</v>
      </c>
    </row>
    <row r="82" spans="1:14" x14ac:dyDescent="0.2">
      <c r="A82">
        <v>200</v>
      </c>
      <c r="B82">
        <v>55.07</v>
      </c>
      <c r="C82">
        <v>254.04</v>
      </c>
      <c r="D82" s="1">
        <v>45939</v>
      </c>
      <c r="E82" s="1">
        <v>45982</v>
      </c>
      <c r="F82">
        <v>0.117808</v>
      </c>
      <c r="G82">
        <v>0.33185117450239859</v>
      </c>
      <c r="H82">
        <v>3.7488444410991598E-2</v>
      </c>
      <c r="I82">
        <v>0</v>
      </c>
      <c r="J82">
        <v>0.98593805134116863</v>
      </c>
      <c r="K82">
        <v>1.238022108627937E-3</v>
      </c>
      <c r="L82">
        <v>3.123566459060295</v>
      </c>
      <c r="M82">
        <v>-11.724514169456061</v>
      </c>
      <c r="N82">
        <v>23.01941250953935</v>
      </c>
    </row>
    <row r="83" spans="1:14" x14ac:dyDescent="0.2">
      <c r="A83">
        <v>210</v>
      </c>
      <c r="B83">
        <v>45.56</v>
      </c>
      <c r="C83">
        <v>254.04</v>
      </c>
      <c r="D83" s="1">
        <v>45939</v>
      </c>
      <c r="E83" s="1">
        <v>45982</v>
      </c>
      <c r="F83">
        <v>0.117808</v>
      </c>
      <c r="G83">
        <v>0.34808912629397731</v>
      </c>
      <c r="H83">
        <v>3.7488444410991598E-2</v>
      </c>
      <c r="I83">
        <v>0</v>
      </c>
      <c r="J83">
        <v>0.95450577989419627</v>
      </c>
      <c r="K83">
        <v>3.1505345677648698E-3</v>
      </c>
      <c r="L83">
        <v>8.3378426934968353</v>
      </c>
      <c r="M83">
        <v>-19.700300370973579</v>
      </c>
      <c r="N83">
        <v>23.199063353791551</v>
      </c>
    </row>
    <row r="84" spans="1:14" x14ac:dyDescent="0.2">
      <c r="A84">
        <v>215</v>
      </c>
      <c r="B84">
        <v>40.799999999999997</v>
      </c>
      <c r="C84">
        <v>254.04</v>
      </c>
      <c r="D84" s="1">
        <v>45939</v>
      </c>
      <c r="E84" s="1">
        <v>45982</v>
      </c>
      <c r="F84">
        <v>0.117808</v>
      </c>
      <c r="G84">
        <v>0.33583237830441931</v>
      </c>
      <c r="H84">
        <v>3.7488444410991598E-2</v>
      </c>
      <c r="I84">
        <v>0</v>
      </c>
      <c r="J84">
        <v>0.93864197445499631</v>
      </c>
      <c r="K84">
        <v>4.1398651331718654E-3</v>
      </c>
      <c r="L84">
        <v>10.5703106128455</v>
      </c>
      <c r="M84">
        <v>-22.47595146243961</v>
      </c>
      <c r="N84">
        <v>23.285058298310499</v>
      </c>
    </row>
    <row r="85" spans="1:14" x14ac:dyDescent="0.2">
      <c r="A85">
        <v>220</v>
      </c>
      <c r="B85">
        <v>36.08</v>
      </c>
      <c r="C85">
        <v>254.04</v>
      </c>
      <c r="D85" s="1">
        <v>45939</v>
      </c>
      <c r="E85" s="1">
        <v>45982</v>
      </c>
      <c r="F85">
        <v>0.117808</v>
      </c>
      <c r="G85">
        <v>0.32093448711480188</v>
      </c>
      <c r="H85">
        <v>3.7488444410991598E-2</v>
      </c>
      <c r="I85">
        <v>0</v>
      </c>
      <c r="J85">
        <v>0.91942102511117252</v>
      </c>
      <c r="K85">
        <v>5.3416219002102722E-3</v>
      </c>
      <c r="L85">
        <v>13.03372409194489</v>
      </c>
      <c r="M85">
        <v>-25.15692482374639</v>
      </c>
      <c r="N85">
        <v>23.265868590111459</v>
      </c>
    </row>
    <row r="86" spans="1:14" x14ac:dyDescent="0.2">
      <c r="A86">
        <v>225</v>
      </c>
      <c r="B86">
        <v>31.4</v>
      </c>
      <c r="C86">
        <v>254.04</v>
      </c>
      <c r="D86" s="1">
        <v>45939</v>
      </c>
      <c r="E86" s="1">
        <v>45982</v>
      </c>
      <c r="F86">
        <v>0.117808</v>
      </c>
      <c r="G86">
        <v>0.30334018042298799</v>
      </c>
      <c r="H86">
        <v>3.7488444410991598E-2</v>
      </c>
      <c r="I86">
        <v>0</v>
      </c>
      <c r="J86">
        <v>0.89623757937143844</v>
      </c>
      <c r="K86">
        <v>6.8159807498567246E-3</v>
      </c>
      <c r="L86">
        <v>15.71944784822497</v>
      </c>
      <c r="M86">
        <v>-27.59599953106245</v>
      </c>
      <c r="N86">
        <v>23.123377167554182</v>
      </c>
    </row>
    <row r="87" spans="1:14" x14ac:dyDescent="0.2">
      <c r="A87">
        <v>235</v>
      </c>
      <c r="B87">
        <v>22.85</v>
      </c>
      <c r="C87">
        <v>254.04</v>
      </c>
      <c r="D87" s="1">
        <v>45939</v>
      </c>
      <c r="E87" s="1">
        <v>45982</v>
      </c>
      <c r="F87">
        <v>0.117808</v>
      </c>
      <c r="G87">
        <v>0.28982997745360611</v>
      </c>
      <c r="H87">
        <v>3.7488444410991598E-2</v>
      </c>
      <c r="I87">
        <v>0</v>
      </c>
      <c r="J87">
        <v>0.8098324016406615</v>
      </c>
      <c r="K87">
        <v>1.0743772470427491E-2</v>
      </c>
      <c r="L87">
        <v>23.67440629806352</v>
      </c>
      <c r="M87">
        <v>-35.977640257482257</v>
      </c>
      <c r="N87">
        <v>21.544706224700771</v>
      </c>
    </row>
    <row r="88" spans="1:14" x14ac:dyDescent="0.2">
      <c r="A88">
        <v>240</v>
      </c>
      <c r="B88">
        <v>18.91</v>
      </c>
      <c r="C88">
        <v>254.04</v>
      </c>
      <c r="D88" s="1">
        <v>45939</v>
      </c>
      <c r="E88" s="1">
        <v>45982</v>
      </c>
      <c r="F88">
        <v>0.117808</v>
      </c>
      <c r="G88">
        <v>0.28214645370642299</v>
      </c>
      <c r="H88">
        <v>3.7488444410991598E-2</v>
      </c>
      <c r="I88">
        <v>0</v>
      </c>
      <c r="J88">
        <v>0.75209451990748888</v>
      </c>
      <c r="K88">
        <v>1.285917946248304E-2</v>
      </c>
      <c r="L88">
        <v>27.58460977723513</v>
      </c>
      <c r="M88">
        <v>-39.485850421091037</v>
      </c>
      <c r="N88">
        <v>20.280893635153529</v>
      </c>
    </row>
    <row r="89" spans="1:14" x14ac:dyDescent="0.2">
      <c r="A89">
        <v>250</v>
      </c>
      <c r="B89">
        <v>11.95</v>
      </c>
      <c r="C89">
        <v>254.04</v>
      </c>
      <c r="D89" s="1">
        <v>45939</v>
      </c>
      <c r="E89" s="1">
        <v>45982</v>
      </c>
      <c r="F89">
        <v>0.117808</v>
      </c>
      <c r="G89">
        <v>0.26583636074334771</v>
      </c>
      <c r="H89">
        <v>3.7488444410991598E-2</v>
      </c>
      <c r="I89">
        <v>0</v>
      </c>
      <c r="J89">
        <v>0.60631112268834875</v>
      </c>
      <c r="K89">
        <v>1.6596223928538059E-2</v>
      </c>
      <c r="L89">
        <v>33.543058543329792</v>
      </c>
      <c r="M89">
        <v>-43.171583314345597</v>
      </c>
      <c r="N89">
        <v>16.737839920413631</v>
      </c>
    </row>
    <row r="90" spans="1:14" x14ac:dyDescent="0.2">
      <c r="A90">
        <v>260</v>
      </c>
      <c r="B90">
        <v>6.82</v>
      </c>
      <c r="C90">
        <v>254.04</v>
      </c>
      <c r="D90" s="1">
        <v>45939</v>
      </c>
      <c r="E90" s="1">
        <v>45982</v>
      </c>
      <c r="F90">
        <v>0.117808</v>
      </c>
      <c r="G90">
        <v>0.25705931768396029</v>
      </c>
      <c r="H90">
        <v>3.7488444410991598E-2</v>
      </c>
      <c r="I90">
        <v>0</v>
      </c>
      <c r="J90">
        <v>0.43303165713910491</v>
      </c>
      <c r="K90">
        <v>1.754729329716247E-2</v>
      </c>
      <c r="L90">
        <v>34.294342190680602</v>
      </c>
      <c r="M90">
        <v>-41.283790213280547</v>
      </c>
      <c r="N90">
        <v>12.156296763656441</v>
      </c>
    </row>
    <row r="91" spans="1:14" x14ac:dyDescent="0.2">
      <c r="A91">
        <v>265</v>
      </c>
      <c r="B91">
        <v>4.95</v>
      </c>
      <c r="C91">
        <v>254.04</v>
      </c>
      <c r="D91" s="1">
        <v>45939</v>
      </c>
      <c r="E91" s="1">
        <v>45982</v>
      </c>
      <c r="F91">
        <v>0.117808</v>
      </c>
      <c r="G91">
        <v>0.25429804352594437</v>
      </c>
      <c r="H91">
        <v>3.7488444410991598E-2</v>
      </c>
      <c r="I91">
        <v>0</v>
      </c>
      <c r="J91">
        <v>0.34838667654838867</v>
      </c>
      <c r="K91">
        <v>1.667645253035795E-2</v>
      </c>
      <c r="L91">
        <v>32.242275289904207</v>
      </c>
      <c r="M91">
        <v>-37.931087417704738</v>
      </c>
      <c r="N91">
        <v>9.8433474575699975</v>
      </c>
    </row>
    <row r="92" spans="1:14" x14ac:dyDescent="0.2">
      <c r="A92">
        <v>200</v>
      </c>
      <c r="B92">
        <v>48.87</v>
      </c>
      <c r="C92">
        <v>247.77</v>
      </c>
      <c r="D92" s="1">
        <v>45944</v>
      </c>
      <c r="E92" s="1">
        <v>45982</v>
      </c>
      <c r="F92">
        <v>0.10410999999999999</v>
      </c>
      <c r="G92">
        <v>0.36379491862162933</v>
      </c>
      <c r="H92">
        <v>3.7488444410991598E-2</v>
      </c>
      <c r="I92">
        <v>0</v>
      </c>
      <c r="J92">
        <v>0.97235600732639504</v>
      </c>
      <c r="K92">
        <v>2.18571908330246E-3</v>
      </c>
      <c r="L92">
        <v>5.0820725532880564</v>
      </c>
      <c r="M92">
        <v>-16.078904758033701</v>
      </c>
      <c r="N92">
        <v>19.994392956534529</v>
      </c>
    </row>
    <row r="93" spans="1:14" x14ac:dyDescent="0.2">
      <c r="A93">
        <v>210</v>
      </c>
      <c r="B93">
        <v>39.31</v>
      </c>
      <c r="C93">
        <v>247.77</v>
      </c>
      <c r="D93" s="1">
        <v>45944</v>
      </c>
      <c r="E93" s="1">
        <v>45982</v>
      </c>
      <c r="F93">
        <v>0.10410999999999999</v>
      </c>
      <c r="G93">
        <v>0.34658196173060513</v>
      </c>
      <c r="H93">
        <v>3.7488444410991598E-2</v>
      </c>
      <c r="I93">
        <v>0</v>
      </c>
      <c r="J93">
        <v>0.9417700455884952</v>
      </c>
      <c r="K93">
        <v>4.1994672419657948E-3</v>
      </c>
      <c r="L93">
        <v>9.3022935781877951</v>
      </c>
      <c r="M93">
        <v>-22.75762894867858</v>
      </c>
      <c r="N93">
        <v>20.200709399500202</v>
      </c>
    </row>
    <row r="94" spans="1:14" x14ac:dyDescent="0.2">
      <c r="A94">
        <v>215</v>
      </c>
      <c r="B94">
        <v>35.049999999999997</v>
      </c>
      <c r="C94">
        <v>247.77</v>
      </c>
      <c r="D94" s="1">
        <v>45944</v>
      </c>
      <c r="E94" s="1">
        <v>45982</v>
      </c>
      <c r="F94">
        <v>0.10410999999999999</v>
      </c>
      <c r="G94">
        <v>0.36761422528250948</v>
      </c>
      <c r="H94">
        <v>3.7488444410991598E-2</v>
      </c>
      <c r="I94">
        <v>0</v>
      </c>
      <c r="J94">
        <v>0.90116336703283995</v>
      </c>
      <c r="K94">
        <v>5.9206700141354682E-3</v>
      </c>
      <c r="L94">
        <v>13.91083032097244</v>
      </c>
      <c r="M94">
        <v>-31.616188863328681</v>
      </c>
      <c r="N94">
        <v>19.596755169851392</v>
      </c>
    </row>
    <row r="95" spans="1:14" x14ac:dyDescent="0.2">
      <c r="A95">
        <v>220</v>
      </c>
      <c r="B95">
        <v>30.05</v>
      </c>
      <c r="C95">
        <v>247.77</v>
      </c>
      <c r="D95" s="1">
        <v>45944</v>
      </c>
      <c r="E95" s="1">
        <v>45982</v>
      </c>
      <c r="F95">
        <v>0.10410999999999999</v>
      </c>
      <c r="G95">
        <v>0.32296073440536782</v>
      </c>
      <c r="H95">
        <v>3.7488444410991598E-2</v>
      </c>
      <c r="I95">
        <v>0</v>
      </c>
      <c r="J95">
        <v>0.89070797608352081</v>
      </c>
      <c r="K95">
        <v>7.2490652925633354E-3</v>
      </c>
      <c r="L95">
        <v>14.96310155776167</v>
      </c>
      <c r="M95">
        <v>-30.355421818842078</v>
      </c>
      <c r="N95">
        <v>19.84760486095513</v>
      </c>
    </row>
    <row r="96" spans="1:14" x14ac:dyDescent="0.2">
      <c r="A96">
        <v>225</v>
      </c>
      <c r="B96">
        <v>25.45</v>
      </c>
      <c r="C96">
        <v>247.77</v>
      </c>
      <c r="D96" s="1">
        <v>45944</v>
      </c>
      <c r="E96" s="1">
        <v>45982</v>
      </c>
      <c r="F96">
        <v>0.10410999999999999</v>
      </c>
      <c r="G96">
        <v>0.30179476304202368</v>
      </c>
      <c r="H96">
        <v>3.7488444410991598E-2</v>
      </c>
      <c r="I96">
        <v>0</v>
      </c>
      <c r="J96">
        <v>0.85964761289590952</v>
      </c>
      <c r="K96">
        <v>9.2409092688909254E-3</v>
      </c>
      <c r="L96">
        <v>17.824456390862281</v>
      </c>
      <c r="M96">
        <v>-32.865592738653909</v>
      </c>
      <c r="N96">
        <v>19.52529839808609</v>
      </c>
    </row>
    <row r="97" spans="1:14" x14ac:dyDescent="0.2">
      <c r="A97">
        <v>235</v>
      </c>
      <c r="B97">
        <v>17.59</v>
      </c>
      <c r="C97">
        <v>247.77</v>
      </c>
      <c r="D97" s="1">
        <v>45944</v>
      </c>
      <c r="E97" s="1">
        <v>45982</v>
      </c>
      <c r="F97">
        <v>0.10410999999999999</v>
      </c>
      <c r="G97">
        <v>0.29581189195581942</v>
      </c>
      <c r="H97">
        <v>3.7488444410991598E-2</v>
      </c>
      <c r="I97">
        <v>0</v>
      </c>
      <c r="J97">
        <v>0.73989134910018417</v>
      </c>
      <c r="K97">
        <v>1.3718835776299921E-2</v>
      </c>
      <c r="L97">
        <v>25.937181111609188</v>
      </c>
      <c r="M97">
        <v>-43.061241008709068</v>
      </c>
      <c r="N97">
        <v>17.254450091669259</v>
      </c>
    </row>
    <row r="98" spans="1:14" x14ac:dyDescent="0.2">
      <c r="A98">
        <v>240</v>
      </c>
      <c r="B98">
        <v>13.67</v>
      </c>
      <c r="C98">
        <v>247.77</v>
      </c>
      <c r="D98" s="1">
        <v>45944</v>
      </c>
      <c r="E98" s="1">
        <v>45982</v>
      </c>
      <c r="F98">
        <v>0.10410999999999999</v>
      </c>
      <c r="G98">
        <v>0.27547940325191361</v>
      </c>
      <c r="H98">
        <v>3.7488444410991598E-2</v>
      </c>
      <c r="I98">
        <v>0</v>
      </c>
      <c r="J98">
        <v>0.67249369550275995</v>
      </c>
      <c r="K98">
        <v>1.6393624690706321E-2</v>
      </c>
      <c r="L98">
        <v>28.863833454735229</v>
      </c>
      <c r="M98">
        <v>-43.921452369290073</v>
      </c>
      <c r="N98">
        <v>15.924016259133349</v>
      </c>
    </row>
    <row r="99" spans="1:14" x14ac:dyDescent="0.2">
      <c r="A99">
        <v>250</v>
      </c>
      <c r="B99">
        <v>8.5500000000000007</v>
      </c>
      <c r="C99">
        <v>247.77</v>
      </c>
      <c r="D99" s="1">
        <v>45944</v>
      </c>
      <c r="E99" s="1">
        <v>45982</v>
      </c>
      <c r="F99">
        <v>0.10410999999999999</v>
      </c>
      <c r="G99">
        <v>0.28671780547113579</v>
      </c>
      <c r="H99">
        <v>3.7488444410991598E-2</v>
      </c>
      <c r="I99">
        <v>0</v>
      </c>
      <c r="J99">
        <v>0.49664589283855909</v>
      </c>
      <c r="K99">
        <v>1.74038410491331E-2</v>
      </c>
      <c r="L99">
        <v>31.892580488747399</v>
      </c>
      <c r="M99">
        <v>-48.208484630181758</v>
      </c>
      <c r="N99">
        <v>11.92100652873664</v>
      </c>
    </row>
    <row r="100" spans="1:14" x14ac:dyDescent="0.2">
      <c r="A100">
        <v>260</v>
      </c>
      <c r="B100">
        <v>4.55</v>
      </c>
      <c r="C100">
        <v>247.77</v>
      </c>
      <c r="D100" s="1">
        <v>45944</v>
      </c>
      <c r="E100" s="1">
        <v>45982</v>
      </c>
      <c r="F100">
        <v>0.10410999999999999</v>
      </c>
      <c r="G100">
        <v>0.27845176088840728</v>
      </c>
      <c r="H100">
        <v>3.7488444410991598E-2</v>
      </c>
      <c r="I100">
        <v>0</v>
      </c>
      <c r="J100">
        <v>0.32711299930193111</v>
      </c>
      <c r="K100">
        <v>1.6210725704852151E-2</v>
      </c>
      <c r="L100">
        <v>28.849767273293381</v>
      </c>
      <c r="M100">
        <v>-41.448497236103996</v>
      </c>
      <c r="N100">
        <v>7.9642888017141438</v>
      </c>
    </row>
    <row r="101" spans="1:14" x14ac:dyDescent="0.2">
      <c r="A101">
        <v>265</v>
      </c>
      <c r="B101">
        <v>3.17</v>
      </c>
      <c r="C101">
        <v>247.77</v>
      </c>
      <c r="D101" s="1">
        <v>45944</v>
      </c>
      <c r="E101" s="1">
        <v>45982</v>
      </c>
      <c r="F101">
        <v>0.10410999999999999</v>
      </c>
      <c r="G101">
        <v>0.2751552436598026</v>
      </c>
      <c r="H101">
        <v>3.7488444410991598E-2</v>
      </c>
      <c r="I101">
        <v>0</v>
      </c>
      <c r="J101">
        <v>0.2517841385711817</v>
      </c>
      <c r="K101">
        <v>1.450052897178237E-2</v>
      </c>
      <c r="L101">
        <v>25.50066623991194</v>
      </c>
      <c r="M101">
        <v>-35.918075176739812</v>
      </c>
      <c r="N101">
        <v>6.1648274265945444</v>
      </c>
    </row>
    <row r="102" spans="1:14" x14ac:dyDescent="0.2">
      <c r="A102">
        <v>200</v>
      </c>
      <c r="B102">
        <v>46.75</v>
      </c>
      <c r="C102">
        <v>247.45</v>
      </c>
      <c r="D102" s="1">
        <v>45946</v>
      </c>
      <c r="E102" s="1">
        <v>45982</v>
      </c>
      <c r="F102">
        <v>9.8629999999999995E-2</v>
      </c>
      <c r="G102">
        <v>9.173131308970231E-2</v>
      </c>
      <c r="H102">
        <v>3.7488444410991598E-2</v>
      </c>
      <c r="I102">
        <v>0</v>
      </c>
      <c r="J102">
        <v>0.99999999999997513</v>
      </c>
      <c r="K102">
        <v>2.672726891436462E-14</v>
      </c>
      <c r="L102">
        <v>1.480662723717962E-11</v>
      </c>
      <c r="M102">
        <v>-7.4700174768195824</v>
      </c>
      <c r="N102">
        <v>19.653198080473469</v>
      </c>
    </row>
    <row r="103" spans="1:14" x14ac:dyDescent="0.2">
      <c r="A103">
        <v>210</v>
      </c>
      <c r="B103">
        <v>38.200000000000003</v>
      </c>
      <c r="C103">
        <v>247.45</v>
      </c>
      <c r="D103" s="1">
        <v>45946</v>
      </c>
      <c r="E103" s="1">
        <v>45982</v>
      </c>
      <c r="F103">
        <v>9.8629999999999995E-2</v>
      </c>
      <c r="G103">
        <v>7.8583256000000004E-2</v>
      </c>
      <c r="H103">
        <v>3.7488444410991598E-2</v>
      </c>
      <c r="I103">
        <v>0</v>
      </c>
      <c r="J103">
        <v>0.99999999999516975</v>
      </c>
      <c r="K103">
        <v>5.4990829752727557E-12</v>
      </c>
      <c r="L103">
        <v>2.6097820605299669E-9</v>
      </c>
      <c r="M103">
        <v>-7.8435183516482816</v>
      </c>
      <c r="N103">
        <v>20.635857984379481</v>
      </c>
    </row>
    <row r="104" spans="1:14" x14ac:dyDescent="0.2">
      <c r="A104">
        <v>215</v>
      </c>
      <c r="B104">
        <v>34.03</v>
      </c>
      <c r="C104">
        <v>247.45</v>
      </c>
      <c r="D104" s="1">
        <v>45946</v>
      </c>
      <c r="E104" s="1">
        <v>45982</v>
      </c>
      <c r="F104">
        <v>9.8629999999999995E-2</v>
      </c>
      <c r="G104">
        <v>0.32029783614035112</v>
      </c>
      <c r="H104">
        <v>3.7488444410991598E-2</v>
      </c>
      <c r="I104">
        <v>0</v>
      </c>
      <c r="J104">
        <v>0.93116200630114265</v>
      </c>
      <c r="K104">
        <v>5.3250924838419388E-3</v>
      </c>
      <c r="L104">
        <v>10.300661340418481</v>
      </c>
      <c r="M104">
        <v>-24.087744633703839</v>
      </c>
      <c r="N104">
        <v>19.369554953686048</v>
      </c>
    </row>
    <row r="105" spans="1:14" x14ac:dyDescent="0.2">
      <c r="A105">
        <v>220</v>
      </c>
      <c r="B105">
        <v>29.25</v>
      </c>
      <c r="C105">
        <v>247.45</v>
      </c>
      <c r="D105" s="1">
        <v>45946</v>
      </c>
      <c r="E105" s="1">
        <v>45982</v>
      </c>
      <c r="F105">
        <v>9.8629999999999995E-2</v>
      </c>
      <c r="G105">
        <v>0.29702471684302367</v>
      </c>
      <c r="H105">
        <v>3.7488444410991598E-2</v>
      </c>
      <c r="I105">
        <v>0</v>
      </c>
      <c r="J105">
        <v>0.91097292081876713</v>
      </c>
      <c r="K105">
        <v>6.9785603229808044E-3</v>
      </c>
      <c r="L105">
        <v>12.51821415219114</v>
      </c>
      <c r="M105">
        <v>-26.20344838460468</v>
      </c>
      <c r="N105">
        <v>19.348271676843378</v>
      </c>
    </row>
    <row r="106" spans="1:14" x14ac:dyDescent="0.2">
      <c r="A106">
        <v>225</v>
      </c>
      <c r="B106">
        <v>24.81</v>
      </c>
      <c r="C106">
        <v>247.45</v>
      </c>
      <c r="D106" s="1">
        <v>45946</v>
      </c>
      <c r="E106" s="1">
        <v>45982</v>
      </c>
      <c r="F106">
        <v>9.8629999999999995E-2</v>
      </c>
      <c r="G106">
        <v>0.29086354198058972</v>
      </c>
      <c r="H106">
        <v>3.7488444410991598E-2</v>
      </c>
      <c r="I106">
        <v>0</v>
      </c>
      <c r="J106">
        <v>0.87019770720670775</v>
      </c>
      <c r="K106">
        <v>9.3489773828663719E-3</v>
      </c>
      <c r="L106">
        <v>16.422427261988631</v>
      </c>
      <c r="M106">
        <v>-31.357488973335851</v>
      </c>
      <c r="N106">
        <v>18.791029284833851</v>
      </c>
    </row>
    <row r="107" spans="1:14" x14ac:dyDescent="0.2">
      <c r="A107">
        <v>235</v>
      </c>
      <c r="B107">
        <v>17.489999999999998</v>
      </c>
      <c r="C107">
        <v>247.45</v>
      </c>
      <c r="D107" s="1">
        <v>45946</v>
      </c>
      <c r="E107" s="1">
        <v>45982</v>
      </c>
      <c r="F107">
        <v>9.8629999999999995E-2</v>
      </c>
      <c r="G107">
        <v>0.31056547540096469</v>
      </c>
      <c r="H107">
        <v>3.7488444410991598E-2</v>
      </c>
      <c r="I107">
        <v>0</v>
      </c>
      <c r="J107">
        <v>0.73103858473366978</v>
      </c>
      <c r="K107">
        <v>1.367346451022811E-2</v>
      </c>
      <c r="L107">
        <v>25.645766990170529</v>
      </c>
      <c r="M107">
        <v>-46.502426545220871</v>
      </c>
      <c r="N107">
        <v>16.116684247256909</v>
      </c>
    </row>
    <row r="108" spans="1:14" x14ac:dyDescent="0.2">
      <c r="A108">
        <v>240</v>
      </c>
      <c r="B108">
        <v>14.01</v>
      </c>
      <c r="C108">
        <v>247.45</v>
      </c>
      <c r="D108" s="1">
        <v>45946</v>
      </c>
      <c r="E108" s="1">
        <v>45982</v>
      </c>
      <c r="F108">
        <v>9.8629999999999995E-2</v>
      </c>
      <c r="G108">
        <v>0.30364007408573102</v>
      </c>
      <c r="H108">
        <v>3.7488444410991598E-2</v>
      </c>
      <c r="I108">
        <v>0</v>
      </c>
      <c r="J108">
        <v>0.65800574347616969</v>
      </c>
      <c r="K108">
        <v>1.5562669406681299E-2</v>
      </c>
      <c r="L108">
        <v>28.538236329378929</v>
      </c>
      <c r="M108">
        <v>-49.507369965523999</v>
      </c>
      <c r="N108">
        <v>14.67747759824206</v>
      </c>
    </row>
    <row r="109" spans="1:14" x14ac:dyDescent="0.2">
      <c r="A109">
        <v>250</v>
      </c>
      <c r="B109">
        <v>8.8000000000000007</v>
      </c>
      <c r="C109">
        <v>247.45</v>
      </c>
      <c r="D109" s="1">
        <v>45946</v>
      </c>
      <c r="E109" s="1">
        <v>45982</v>
      </c>
      <c r="F109">
        <v>9.8629999999999995E-2</v>
      </c>
      <c r="G109">
        <v>0.30848883726064052</v>
      </c>
      <c r="H109">
        <v>3.7488444410991598E-2</v>
      </c>
      <c r="I109">
        <v>0</v>
      </c>
      <c r="J109">
        <v>0.4923338902213783</v>
      </c>
      <c r="K109">
        <v>1.6637897493575322E-2</v>
      </c>
      <c r="L109">
        <v>30.997155879271482</v>
      </c>
      <c r="M109">
        <v>-52.712741873144218</v>
      </c>
      <c r="N109">
        <v>11.147953715413109</v>
      </c>
    </row>
    <row r="110" spans="1:14" x14ac:dyDescent="0.2">
      <c r="A110">
        <v>260</v>
      </c>
      <c r="B110">
        <v>4.5</v>
      </c>
      <c r="C110">
        <v>247.45</v>
      </c>
      <c r="D110" s="1">
        <v>45946</v>
      </c>
      <c r="E110" s="1">
        <v>45982</v>
      </c>
      <c r="F110">
        <v>9.8629999999999995E-2</v>
      </c>
      <c r="G110">
        <v>0.28856928929403092</v>
      </c>
      <c r="H110">
        <v>3.7488444410991598E-2</v>
      </c>
      <c r="I110">
        <v>0</v>
      </c>
      <c r="J110">
        <v>0.32283375237697493</v>
      </c>
      <c r="K110">
        <v>1.6005222627138022E-2</v>
      </c>
      <c r="L110">
        <v>27.893035442941191</v>
      </c>
      <c r="M110">
        <v>-43.630461504838692</v>
      </c>
      <c r="N110">
        <v>7.4352434620930241</v>
      </c>
    </row>
    <row r="111" spans="1:14" x14ac:dyDescent="0.2">
      <c r="A111">
        <v>265</v>
      </c>
      <c r="B111">
        <v>3.15</v>
      </c>
      <c r="C111">
        <v>247.45</v>
      </c>
      <c r="D111" s="1">
        <v>45946</v>
      </c>
      <c r="E111" s="1">
        <v>45982</v>
      </c>
      <c r="F111">
        <v>9.8629999999999995E-2</v>
      </c>
      <c r="G111">
        <v>0.28561543401191469</v>
      </c>
      <c r="H111">
        <v>3.7488444410991598E-2</v>
      </c>
      <c r="I111">
        <v>0</v>
      </c>
      <c r="J111">
        <v>0.2489383481123644</v>
      </c>
      <c r="K111">
        <v>1.4284533489511839E-2</v>
      </c>
      <c r="L111">
        <v>24.639488222551641</v>
      </c>
      <c r="M111">
        <v>-37.867041616425652</v>
      </c>
      <c r="N111">
        <v>5.7649032059308762</v>
      </c>
    </row>
    <row r="112" spans="1:14" x14ac:dyDescent="0.2">
      <c r="A112">
        <v>200</v>
      </c>
      <c r="B112">
        <v>64.05</v>
      </c>
      <c r="C112">
        <v>262.77</v>
      </c>
      <c r="D112" s="1">
        <v>45951</v>
      </c>
      <c r="E112" s="1">
        <v>45982</v>
      </c>
      <c r="F112">
        <v>8.4931999999999994E-2</v>
      </c>
      <c r="G112">
        <v>0.55186240678822462</v>
      </c>
      <c r="H112">
        <v>3.7488444410991598E-2</v>
      </c>
      <c r="I112">
        <v>0</v>
      </c>
      <c r="J112">
        <v>0.96386559572089447</v>
      </c>
      <c r="K112">
        <v>1.8768318785547309E-3</v>
      </c>
      <c r="L112">
        <v>6.0740602479366403</v>
      </c>
      <c r="M112">
        <v>-26.827451192116129</v>
      </c>
      <c r="N112">
        <v>16.071254500244379</v>
      </c>
    </row>
    <row r="113" spans="1:14" x14ac:dyDescent="0.2">
      <c r="A113">
        <v>210</v>
      </c>
      <c r="B113">
        <v>54.06</v>
      </c>
      <c r="C113">
        <v>262.77</v>
      </c>
      <c r="D113" s="1">
        <v>45951</v>
      </c>
      <c r="E113" s="1">
        <v>45982</v>
      </c>
      <c r="F113">
        <v>8.4931999999999994E-2</v>
      </c>
      <c r="G113">
        <v>0.4664826963504658</v>
      </c>
      <c r="H113">
        <v>3.7488444410991598E-2</v>
      </c>
      <c r="I113">
        <v>0</v>
      </c>
      <c r="J113">
        <v>0.959101338157064</v>
      </c>
      <c r="K113">
        <v>2.4561928929839661E-3</v>
      </c>
      <c r="L113">
        <v>6.7192518927339746</v>
      </c>
      <c r="M113">
        <v>-25.87382286988322</v>
      </c>
      <c r="N113">
        <v>16.813398467124919</v>
      </c>
    </row>
    <row r="114" spans="1:14" x14ac:dyDescent="0.2">
      <c r="A114">
        <v>215</v>
      </c>
      <c r="B114">
        <v>49.55</v>
      </c>
      <c r="C114">
        <v>262.77</v>
      </c>
      <c r="D114" s="1">
        <v>45951</v>
      </c>
      <c r="E114" s="1">
        <v>45982</v>
      </c>
      <c r="F114">
        <v>8.4931999999999994E-2</v>
      </c>
      <c r="G114">
        <v>0.48274310237251811</v>
      </c>
      <c r="H114">
        <v>3.7488444410991598E-2</v>
      </c>
      <c r="I114">
        <v>0</v>
      </c>
      <c r="J114">
        <v>0.93563567383659918</v>
      </c>
      <c r="K114">
        <v>3.403742877598143E-3</v>
      </c>
      <c r="L114">
        <v>9.6359765826499135</v>
      </c>
      <c r="M114">
        <v>-34.744099827432763</v>
      </c>
      <c r="N114">
        <v>16.672744932878061</v>
      </c>
    </row>
    <row r="115" spans="1:14" x14ac:dyDescent="0.2">
      <c r="A115">
        <v>220</v>
      </c>
      <c r="B115">
        <v>43.96</v>
      </c>
      <c r="C115">
        <v>262.77</v>
      </c>
      <c r="D115" s="1">
        <v>45951</v>
      </c>
      <c r="E115" s="1">
        <v>45982</v>
      </c>
      <c r="F115">
        <v>8.4931999999999994E-2</v>
      </c>
      <c r="G115">
        <v>0.36862926404743201</v>
      </c>
      <c r="H115">
        <v>3.7488444410991598E-2</v>
      </c>
      <c r="I115">
        <v>0</v>
      </c>
      <c r="J115">
        <v>0.95880664144829575</v>
      </c>
      <c r="K115">
        <v>3.1263452523446989E-3</v>
      </c>
      <c r="L115">
        <v>6.7584897469184462</v>
      </c>
      <c r="M115">
        <v>-22.463950299036629</v>
      </c>
      <c r="N115">
        <v>17.664634701787872</v>
      </c>
    </row>
    <row r="116" spans="1:14" x14ac:dyDescent="0.2">
      <c r="A116">
        <v>225</v>
      </c>
      <c r="B116">
        <v>39.340000000000003</v>
      </c>
      <c r="C116">
        <v>262.77</v>
      </c>
      <c r="D116" s="1">
        <v>45951</v>
      </c>
      <c r="E116" s="1">
        <v>45982</v>
      </c>
      <c r="F116">
        <v>8.4931999999999994E-2</v>
      </c>
      <c r="G116">
        <v>0.37329588916262829</v>
      </c>
      <c r="H116">
        <v>3.7488444410991598E-2</v>
      </c>
      <c r="I116">
        <v>0</v>
      </c>
      <c r="J116">
        <v>0.93448703166562619</v>
      </c>
      <c r="K116">
        <v>4.4625493402397024E-3</v>
      </c>
      <c r="L116">
        <v>9.7692033904960223</v>
      </c>
      <c r="M116">
        <v>-29.199645720362369</v>
      </c>
      <c r="N116">
        <v>17.514265731880279</v>
      </c>
    </row>
    <row r="117" spans="1:14" x14ac:dyDescent="0.2">
      <c r="A117">
        <v>235</v>
      </c>
      <c r="B117">
        <v>29.8</v>
      </c>
      <c r="C117">
        <v>262.77</v>
      </c>
      <c r="D117" s="1">
        <v>45951</v>
      </c>
      <c r="E117" s="1">
        <v>45982</v>
      </c>
      <c r="F117">
        <v>8.4931999999999994E-2</v>
      </c>
      <c r="G117">
        <v>0.32500130490137658</v>
      </c>
      <c r="H117">
        <v>3.7488444410991598E-2</v>
      </c>
      <c r="I117">
        <v>0</v>
      </c>
      <c r="J117">
        <v>0.89620650851127492</v>
      </c>
      <c r="K117">
        <v>7.2451195179076E-3</v>
      </c>
      <c r="L117">
        <v>13.80872472310655</v>
      </c>
      <c r="M117">
        <v>-34.131504740782233</v>
      </c>
      <c r="N117">
        <v>17.47018831849228</v>
      </c>
    </row>
    <row r="118" spans="1:14" x14ac:dyDescent="0.2">
      <c r="A118">
        <v>240</v>
      </c>
      <c r="B118">
        <v>25.48</v>
      </c>
      <c r="C118">
        <v>262.77</v>
      </c>
      <c r="D118" s="1">
        <v>45951</v>
      </c>
      <c r="E118" s="1">
        <v>45982</v>
      </c>
      <c r="F118">
        <v>8.4931999999999994E-2</v>
      </c>
      <c r="G118">
        <v>0.32129082099881617</v>
      </c>
      <c r="H118">
        <v>3.7488444410991598E-2</v>
      </c>
      <c r="I118">
        <v>0</v>
      </c>
      <c r="J118">
        <v>0.85287574656436416</v>
      </c>
      <c r="K118">
        <v>9.3545071886158467E-3</v>
      </c>
      <c r="L118">
        <v>17.625528355434049</v>
      </c>
      <c r="M118">
        <v>-40.784302999223542</v>
      </c>
      <c r="N118">
        <v>16.87005674252427</v>
      </c>
    </row>
    <row r="119" spans="1:14" x14ac:dyDescent="0.2">
      <c r="A119">
        <v>250</v>
      </c>
      <c r="B119">
        <v>17.260000000000002</v>
      </c>
      <c r="C119">
        <v>262.77</v>
      </c>
      <c r="D119" s="1">
        <v>45951</v>
      </c>
      <c r="E119" s="1">
        <v>45982</v>
      </c>
      <c r="F119">
        <v>8.4931999999999994E-2</v>
      </c>
      <c r="G119">
        <v>0.29844476065280728</v>
      </c>
      <c r="H119">
        <v>3.7488444410991598E-2</v>
      </c>
      <c r="I119">
        <v>0</v>
      </c>
      <c r="J119">
        <v>0.74308196936125603</v>
      </c>
      <c r="K119">
        <v>1.4105101113154861E-2</v>
      </c>
      <c r="L119">
        <v>24.68670208075299</v>
      </c>
      <c r="M119">
        <v>-50.046551752182609</v>
      </c>
      <c r="N119">
        <v>15.11786619642881</v>
      </c>
    </row>
    <row r="120" spans="1:14" x14ac:dyDescent="0.2">
      <c r="A120">
        <v>260</v>
      </c>
      <c r="B120">
        <v>10.47</v>
      </c>
      <c r="C120">
        <v>262.77</v>
      </c>
      <c r="D120" s="1">
        <v>45951</v>
      </c>
      <c r="E120" s="1">
        <v>45982</v>
      </c>
      <c r="F120">
        <v>8.4931999999999994E-2</v>
      </c>
      <c r="G120">
        <v>0.28192923567476658</v>
      </c>
      <c r="H120">
        <v>3.7488444410991598E-2</v>
      </c>
      <c r="I120">
        <v>0</v>
      </c>
      <c r="J120">
        <v>0.58270360660218845</v>
      </c>
      <c r="K120">
        <v>1.807965278873756E-2</v>
      </c>
      <c r="L120">
        <v>29.891871934957461</v>
      </c>
      <c r="M120">
        <v>-54.960202892541027</v>
      </c>
      <c r="N120">
        <v>12.11529727226678</v>
      </c>
    </row>
    <row r="121" spans="1:14" x14ac:dyDescent="0.2">
      <c r="A121">
        <v>265</v>
      </c>
      <c r="B121">
        <v>7.78</v>
      </c>
      <c r="C121">
        <v>262.77</v>
      </c>
      <c r="D121" s="1">
        <v>45951</v>
      </c>
      <c r="E121" s="1">
        <v>45982</v>
      </c>
      <c r="F121">
        <v>8.4931999999999994E-2</v>
      </c>
      <c r="G121">
        <v>0.276121418360598</v>
      </c>
      <c r="H121">
        <v>3.7488444410991598E-2</v>
      </c>
      <c r="I121">
        <v>0</v>
      </c>
      <c r="J121">
        <v>0.48994205132258012</v>
      </c>
      <c r="K121">
        <v>1.8860815246286289E-2</v>
      </c>
      <c r="L121">
        <v>30.541015237465011</v>
      </c>
      <c r="M121">
        <v>-54.180446231610027</v>
      </c>
      <c r="N121">
        <v>10.27355076006948</v>
      </c>
    </row>
    <row r="122" spans="1:14" x14ac:dyDescent="0.2">
      <c r="A122">
        <v>200</v>
      </c>
      <c r="B122">
        <v>60.6</v>
      </c>
      <c r="C122">
        <v>259.58</v>
      </c>
      <c r="D122" s="1">
        <v>45953</v>
      </c>
      <c r="E122" s="1">
        <v>45982</v>
      </c>
      <c r="F122">
        <v>7.9451999999999995E-2</v>
      </c>
      <c r="G122">
        <v>0.50962588391112862</v>
      </c>
      <c r="H122">
        <v>3.7488444410991598E-2</v>
      </c>
      <c r="I122">
        <v>0</v>
      </c>
      <c r="J122">
        <v>0.97178665313047874</v>
      </c>
      <c r="K122">
        <v>1.733986080525225E-3</v>
      </c>
      <c r="L122">
        <v>4.7309066070749184</v>
      </c>
      <c r="M122">
        <v>-22.357534927795129</v>
      </c>
      <c r="N122">
        <v>15.227482585274389</v>
      </c>
    </row>
    <row r="123" spans="1:14" x14ac:dyDescent="0.2">
      <c r="A123">
        <v>210</v>
      </c>
      <c r="B123">
        <v>50.6</v>
      </c>
      <c r="C123">
        <v>259.58</v>
      </c>
      <c r="D123" s="1">
        <v>45953</v>
      </c>
      <c r="E123" s="1">
        <v>45982</v>
      </c>
      <c r="F123">
        <v>7.9451999999999995E-2</v>
      </c>
      <c r="G123">
        <v>0.42335267283582689</v>
      </c>
      <c r="H123">
        <v>3.7488444410991598E-2</v>
      </c>
      <c r="I123">
        <v>0</v>
      </c>
      <c r="J123">
        <v>0.96861619627229978</v>
      </c>
      <c r="K123">
        <v>2.2801718933492601E-3</v>
      </c>
      <c r="L123">
        <v>5.1679366839785574</v>
      </c>
      <c r="M123">
        <v>-21.297369059280001</v>
      </c>
      <c r="N123">
        <v>15.956614679327821</v>
      </c>
    </row>
    <row r="124" spans="1:14" x14ac:dyDescent="0.2">
      <c r="A124">
        <v>215</v>
      </c>
      <c r="B124">
        <v>45.8</v>
      </c>
      <c r="C124">
        <v>259.58</v>
      </c>
      <c r="D124" s="1">
        <v>45953</v>
      </c>
      <c r="E124" s="1">
        <v>45982</v>
      </c>
      <c r="F124">
        <v>7.9451999999999995E-2</v>
      </c>
      <c r="G124">
        <v>0.41396659269527358</v>
      </c>
      <c r="H124">
        <v>3.7488444410991598E-2</v>
      </c>
      <c r="I124">
        <v>0</v>
      </c>
      <c r="J124">
        <v>0.95531148355009221</v>
      </c>
      <c r="K124">
        <v>3.111932353795335E-3</v>
      </c>
      <c r="L124">
        <v>6.8967221966321581</v>
      </c>
      <c r="M124">
        <v>-25.54630644682593</v>
      </c>
      <c r="N124">
        <v>16.063585860175358</v>
      </c>
    </row>
    <row r="125" spans="1:14" x14ac:dyDescent="0.2">
      <c r="A125">
        <v>220</v>
      </c>
      <c r="B125">
        <v>40.799999999999997</v>
      </c>
      <c r="C125">
        <v>259.58</v>
      </c>
      <c r="D125" s="1">
        <v>45953</v>
      </c>
      <c r="E125" s="1">
        <v>45982</v>
      </c>
      <c r="F125">
        <v>7.9451999999999995E-2</v>
      </c>
      <c r="G125">
        <v>0.37106747860748918</v>
      </c>
      <c r="H125">
        <v>3.7488444410991598E-2</v>
      </c>
      <c r="I125">
        <v>0</v>
      </c>
      <c r="J125">
        <v>0.95179266648140681</v>
      </c>
      <c r="K125">
        <v>3.6894913170096612E-3</v>
      </c>
      <c r="L125">
        <v>7.329370501662086</v>
      </c>
      <c r="M125">
        <v>-24.847913035000801</v>
      </c>
      <c r="N125">
        <v>16.38827324509684</v>
      </c>
    </row>
    <row r="126" spans="1:14" x14ac:dyDescent="0.2">
      <c r="A126">
        <v>225</v>
      </c>
      <c r="B126">
        <v>35.44</v>
      </c>
      <c r="C126">
        <v>259.58</v>
      </c>
      <c r="D126" s="1">
        <v>45953</v>
      </c>
      <c r="E126" s="1">
        <v>45982</v>
      </c>
      <c r="F126">
        <v>7.9451999999999995E-2</v>
      </c>
      <c r="G126">
        <v>0.2693101091878442</v>
      </c>
      <c r="H126">
        <v>3.7488444410991598E-2</v>
      </c>
      <c r="I126">
        <v>0</v>
      </c>
      <c r="J126">
        <v>0.97503183068054733</v>
      </c>
      <c r="K126">
        <v>2.9628364739633949E-3</v>
      </c>
      <c r="L126">
        <v>4.2717677087915904</v>
      </c>
      <c r="M126">
        <v>-15.399469850835651</v>
      </c>
      <c r="N126">
        <v>17.293424006642059</v>
      </c>
    </row>
    <row r="127" spans="1:14" x14ac:dyDescent="0.2">
      <c r="A127">
        <v>235</v>
      </c>
      <c r="B127">
        <v>26.16</v>
      </c>
      <c r="C127">
        <v>259.58</v>
      </c>
      <c r="D127" s="1">
        <v>45953</v>
      </c>
      <c r="E127" s="1">
        <v>45982</v>
      </c>
      <c r="F127">
        <v>7.9451999999999995E-2</v>
      </c>
      <c r="G127">
        <v>0.27932593078156048</v>
      </c>
      <c r="H127">
        <v>3.7488444410991598E-2</v>
      </c>
      <c r="I127">
        <v>0</v>
      </c>
      <c r="J127">
        <v>0.90998795922141429</v>
      </c>
      <c r="K127">
        <v>7.9463782238955276E-3</v>
      </c>
      <c r="L127">
        <v>11.88304596612512</v>
      </c>
      <c r="M127">
        <v>-28.76297617252591</v>
      </c>
      <c r="N127">
        <v>16.689263990161798</v>
      </c>
    </row>
    <row r="128" spans="1:14" x14ac:dyDescent="0.2">
      <c r="A128">
        <v>240</v>
      </c>
      <c r="B128">
        <v>21.96</v>
      </c>
      <c r="C128">
        <v>259.58</v>
      </c>
      <c r="D128" s="1">
        <v>45953</v>
      </c>
      <c r="E128" s="1">
        <v>45982</v>
      </c>
      <c r="F128">
        <v>7.9451999999999995E-2</v>
      </c>
      <c r="G128">
        <v>0.28742928009597851</v>
      </c>
      <c r="H128">
        <v>3.7488444410991598E-2</v>
      </c>
      <c r="I128">
        <v>0</v>
      </c>
      <c r="J128">
        <v>0.85205226709350079</v>
      </c>
      <c r="K128">
        <v>1.098499745324825E-2</v>
      </c>
      <c r="L128">
        <v>16.903563048932021</v>
      </c>
      <c r="M128">
        <v>-38.0438488080082</v>
      </c>
      <c r="N128">
        <v>15.828087980469361</v>
      </c>
    </row>
    <row r="129" spans="1:14" x14ac:dyDescent="0.2">
      <c r="A129">
        <v>250</v>
      </c>
      <c r="B129">
        <v>14.2</v>
      </c>
      <c r="C129">
        <v>259.58</v>
      </c>
      <c r="D129" s="1">
        <v>45953</v>
      </c>
      <c r="E129" s="1">
        <v>45982</v>
      </c>
      <c r="F129">
        <v>7.9451999999999995E-2</v>
      </c>
      <c r="G129">
        <v>0.27977476606066359</v>
      </c>
      <c r="H129">
        <v>3.7488444410991598E-2</v>
      </c>
      <c r="I129">
        <v>0</v>
      </c>
      <c r="J129">
        <v>0.71022447509544007</v>
      </c>
      <c r="K129">
        <v>1.671560671371642E-2</v>
      </c>
      <c r="L129">
        <v>25.03675133033326</v>
      </c>
      <c r="M129">
        <v>-50.460061610035453</v>
      </c>
      <c r="N129">
        <v>13.519557821674701</v>
      </c>
    </row>
    <row r="130" spans="1:14" x14ac:dyDescent="0.2">
      <c r="A130">
        <v>260</v>
      </c>
      <c r="B130">
        <v>7.95</v>
      </c>
      <c r="C130">
        <v>259.58</v>
      </c>
      <c r="D130" s="1">
        <v>45953</v>
      </c>
      <c r="E130" s="1">
        <v>45982</v>
      </c>
      <c r="F130">
        <v>7.9451999999999995E-2</v>
      </c>
      <c r="G130">
        <v>0.26650284691581888</v>
      </c>
      <c r="H130">
        <v>3.7488444410991598E-2</v>
      </c>
      <c r="I130">
        <v>0</v>
      </c>
      <c r="J130">
        <v>0.52220514576368615</v>
      </c>
      <c r="K130">
        <v>2.0427308197368779E-2</v>
      </c>
      <c r="L130">
        <v>29.144746636796508</v>
      </c>
      <c r="M130">
        <v>-53.663238099226163</v>
      </c>
      <c r="N130">
        <v>10.138393944002249</v>
      </c>
    </row>
    <row r="131" spans="1:14" x14ac:dyDescent="0.2">
      <c r="A131">
        <v>265</v>
      </c>
      <c r="B131">
        <v>5.55</v>
      </c>
      <c r="C131">
        <v>259.58</v>
      </c>
      <c r="D131" s="1">
        <v>45953</v>
      </c>
      <c r="E131" s="1">
        <v>45982</v>
      </c>
      <c r="F131">
        <v>7.9451999999999995E-2</v>
      </c>
      <c r="G131">
        <v>0.25960801125318672</v>
      </c>
      <c r="H131">
        <v>3.7488444410991598E-2</v>
      </c>
      <c r="I131">
        <v>0</v>
      </c>
      <c r="J131">
        <v>0.41874429474991892</v>
      </c>
      <c r="K131">
        <v>2.056521224535893E-2</v>
      </c>
      <c r="L131">
        <v>28.582392345632758</v>
      </c>
      <c r="M131">
        <v>-50.563076618572367</v>
      </c>
      <c r="N131">
        <v>8.1952866135656262</v>
      </c>
    </row>
    <row r="132" spans="1:14" x14ac:dyDescent="0.2">
      <c r="A132">
        <v>200</v>
      </c>
      <c r="B132">
        <v>72</v>
      </c>
      <c r="C132">
        <v>271.39999999999998</v>
      </c>
      <c r="D132" s="1">
        <v>45960</v>
      </c>
      <c r="E132" s="1">
        <v>45982</v>
      </c>
      <c r="F132">
        <v>6.0274000000000001E-2</v>
      </c>
      <c r="G132">
        <v>0.5642959349369101</v>
      </c>
      <c r="H132">
        <v>3.7488444410991598E-2</v>
      </c>
      <c r="I132">
        <v>0</v>
      </c>
      <c r="J132">
        <v>0.98896384576485241</v>
      </c>
      <c r="K132">
        <v>7.7243194613390838E-4</v>
      </c>
      <c r="L132">
        <v>1.9351598689285781</v>
      </c>
      <c r="M132">
        <v>-16.421565834530931</v>
      </c>
      <c r="N132">
        <v>11.83810217624494</v>
      </c>
    </row>
    <row r="133" spans="1:14" x14ac:dyDescent="0.2">
      <c r="A133">
        <v>210</v>
      </c>
      <c r="B133">
        <v>61.9</v>
      </c>
      <c r="C133">
        <v>271.39999999999998</v>
      </c>
      <c r="D133" s="1">
        <v>45960</v>
      </c>
      <c r="E133" s="1">
        <v>45982</v>
      </c>
      <c r="F133">
        <v>6.0274000000000001E-2</v>
      </c>
      <c r="G133">
        <v>0.39325082788349908</v>
      </c>
      <c r="H133">
        <v>3.7488444410991598E-2</v>
      </c>
      <c r="I133">
        <v>0</v>
      </c>
      <c r="J133">
        <v>0.9968168852947733</v>
      </c>
      <c r="K133">
        <v>3.6830498045685098E-4</v>
      </c>
      <c r="L133">
        <v>0.64302363729272893</v>
      </c>
      <c r="M133">
        <v>-9.9191100713867559</v>
      </c>
      <c r="N133">
        <v>12.575332452245741</v>
      </c>
    </row>
    <row r="134" spans="1:14" x14ac:dyDescent="0.2">
      <c r="A134">
        <v>215</v>
      </c>
      <c r="B134">
        <v>57.92</v>
      </c>
      <c r="C134">
        <v>271.39999999999998</v>
      </c>
      <c r="D134" s="1">
        <v>45960</v>
      </c>
      <c r="E134" s="1">
        <v>45982</v>
      </c>
      <c r="F134">
        <v>6.0274000000000001E-2</v>
      </c>
      <c r="G134">
        <v>0.62918962440802428</v>
      </c>
      <c r="H134">
        <v>3.7488444410991598E-2</v>
      </c>
      <c r="I134">
        <v>0</v>
      </c>
      <c r="J134">
        <v>0.94519535686575973</v>
      </c>
      <c r="K134">
        <v>2.6460024933246521E-3</v>
      </c>
      <c r="L134">
        <v>7.3913114356757603</v>
      </c>
      <c r="M134">
        <v>-46.023727065338058</v>
      </c>
      <c r="N134">
        <v>11.97077923982425</v>
      </c>
    </row>
    <row r="135" spans="1:14" x14ac:dyDescent="0.2">
      <c r="A135">
        <v>220</v>
      </c>
      <c r="B135">
        <v>52.01</v>
      </c>
      <c r="C135">
        <v>271.39999999999998</v>
      </c>
      <c r="D135" s="1">
        <v>45960</v>
      </c>
      <c r="E135" s="1">
        <v>45982</v>
      </c>
      <c r="F135">
        <v>6.0274000000000001E-2</v>
      </c>
      <c r="G135">
        <v>0.39221453039052312</v>
      </c>
      <c r="H135">
        <v>3.7488444410991598E-2</v>
      </c>
      <c r="I135">
        <v>0</v>
      </c>
      <c r="J135">
        <v>0.9878431282739476</v>
      </c>
      <c r="K135">
        <v>1.208694144925302E-3</v>
      </c>
      <c r="L135">
        <v>2.1046980452699282</v>
      </c>
      <c r="M135">
        <v>-14.948739218992429</v>
      </c>
      <c r="N135">
        <v>13.02464633135563</v>
      </c>
    </row>
    <row r="136" spans="1:14" x14ac:dyDescent="0.2">
      <c r="A136">
        <v>225</v>
      </c>
      <c r="B136">
        <v>46.75</v>
      </c>
      <c r="C136">
        <v>271.39999999999998</v>
      </c>
      <c r="D136" s="1">
        <v>45960</v>
      </c>
      <c r="E136" s="1">
        <v>45982</v>
      </c>
      <c r="F136">
        <v>6.0274000000000001E-2</v>
      </c>
      <c r="G136">
        <v>0.11024340800012861</v>
      </c>
      <c r="H136">
        <v>3.7488444410991598E-2</v>
      </c>
      <c r="I136">
        <v>0</v>
      </c>
      <c r="J136">
        <v>0.99999999999892497</v>
      </c>
      <c r="K136">
        <v>1.0481064943002501E-12</v>
      </c>
      <c r="L136">
        <v>5.1298863387325802E-10</v>
      </c>
      <c r="M136">
        <v>-8.4158621910758526</v>
      </c>
      <c r="N136">
        <v>13.53104098200194</v>
      </c>
    </row>
    <row r="137" spans="1:14" x14ac:dyDescent="0.2">
      <c r="A137">
        <v>235</v>
      </c>
      <c r="B137">
        <v>37.049999999999997</v>
      </c>
      <c r="C137">
        <v>271.39999999999998</v>
      </c>
      <c r="D137" s="1">
        <v>45960</v>
      </c>
      <c r="E137" s="1">
        <v>45982</v>
      </c>
      <c r="F137">
        <v>6.0274000000000001E-2</v>
      </c>
      <c r="G137">
        <v>0.28587200140249958</v>
      </c>
      <c r="H137">
        <v>3.7488444410991598E-2</v>
      </c>
      <c r="I137">
        <v>0</v>
      </c>
      <c r="J137">
        <v>0.98296157183974464</v>
      </c>
      <c r="K137">
        <v>2.217630976010894E-3</v>
      </c>
      <c r="L137">
        <v>2.814560587009213</v>
      </c>
      <c r="M137">
        <v>-15.28661522034149</v>
      </c>
      <c r="N137">
        <v>13.84649109633925</v>
      </c>
    </row>
    <row r="138" spans="1:14" x14ac:dyDescent="0.2">
      <c r="A138">
        <v>240</v>
      </c>
      <c r="B138">
        <v>32.4</v>
      </c>
      <c r="C138">
        <v>271.39999999999998</v>
      </c>
      <c r="D138" s="1">
        <v>45960</v>
      </c>
      <c r="E138" s="1">
        <v>45982</v>
      </c>
      <c r="F138">
        <v>6.0274000000000001E-2</v>
      </c>
      <c r="G138">
        <v>0.31802462593417741</v>
      </c>
      <c r="H138">
        <v>3.7488444410991598E-2</v>
      </c>
      <c r="I138">
        <v>0</v>
      </c>
      <c r="J138">
        <v>0.94978356319855228</v>
      </c>
      <c r="K138">
        <v>4.8839223100465524E-3</v>
      </c>
      <c r="L138">
        <v>6.8957133165620492</v>
      </c>
      <c r="M138">
        <v>-26.64079660216937</v>
      </c>
      <c r="N138">
        <v>13.584027248283491</v>
      </c>
    </row>
    <row r="139" spans="1:14" x14ac:dyDescent="0.2">
      <c r="A139">
        <v>250</v>
      </c>
      <c r="B139">
        <v>23.1</v>
      </c>
      <c r="C139">
        <v>271.39999999999998</v>
      </c>
      <c r="D139" s="1">
        <v>45960</v>
      </c>
      <c r="E139" s="1">
        <v>45982</v>
      </c>
      <c r="F139">
        <v>6.0274000000000001E-2</v>
      </c>
      <c r="G139">
        <v>0.29511157961631768</v>
      </c>
      <c r="H139">
        <v>3.7488444410991598E-2</v>
      </c>
      <c r="I139">
        <v>0</v>
      </c>
      <c r="J139">
        <v>0.88512985136470901</v>
      </c>
      <c r="K139">
        <v>9.8632696214978662E-3</v>
      </c>
      <c r="L139">
        <v>12.922806940736329</v>
      </c>
      <c r="M139">
        <v>-39.775761565617557</v>
      </c>
      <c r="N139">
        <v>13.086946541411571</v>
      </c>
    </row>
    <row r="140" spans="1:14" x14ac:dyDescent="0.2">
      <c r="A140">
        <v>260</v>
      </c>
      <c r="B140">
        <v>14.75</v>
      </c>
      <c r="C140">
        <v>271.39999999999998</v>
      </c>
      <c r="D140" s="1">
        <v>45960</v>
      </c>
      <c r="E140" s="1">
        <v>45982</v>
      </c>
      <c r="F140">
        <v>6.0274000000000001E-2</v>
      </c>
      <c r="G140">
        <v>0.27825031645387871</v>
      </c>
      <c r="H140">
        <v>3.7488444410991598E-2</v>
      </c>
      <c r="I140">
        <v>0</v>
      </c>
      <c r="J140">
        <v>0.75659965270785157</v>
      </c>
      <c r="K140">
        <v>1.6896210916942919E-2</v>
      </c>
      <c r="L140">
        <v>20.872510566100729</v>
      </c>
      <c r="M140">
        <v>-55.323140823872968</v>
      </c>
      <c r="N140">
        <v>11.48769071862646</v>
      </c>
    </row>
    <row r="141" spans="1:14" x14ac:dyDescent="0.2">
      <c r="A141">
        <v>265</v>
      </c>
      <c r="B141">
        <v>11.25</v>
      </c>
      <c r="C141">
        <v>271.39999999999998</v>
      </c>
      <c r="D141" s="1">
        <v>45960</v>
      </c>
      <c r="E141" s="1">
        <v>45982</v>
      </c>
      <c r="F141">
        <v>6.0274000000000001E-2</v>
      </c>
      <c r="G141">
        <v>0.27513893054342181</v>
      </c>
      <c r="H141">
        <v>3.7488444410991598E-2</v>
      </c>
      <c r="I141">
        <v>0</v>
      </c>
      <c r="J141">
        <v>0.66294357182196051</v>
      </c>
      <c r="K141">
        <v>1.9919814864462339E-2</v>
      </c>
      <c r="L141">
        <v>24.332517423818292</v>
      </c>
      <c r="M141">
        <v>-61.859857248729909</v>
      </c>
      <c r="N141">
        <v>10.16658949414634</v>
      </c>
    </row>
    <row r="142" spans="1:14" x14ac:dyDescent="0.2">
      <c r="A142">
        <v>200</v>
      </c>
      <c r="B142">
        <v>72</v>
      </c>
      <c r="C142">
        <v>271.39999999999998</v>
      </c>
      <c r="D142" s="1">
        <v>45981</v>
      </c>
      <c r="E142" s="1">
        <v>45982</v>
      </c>
      <c r="F142">
        <v>2.7397260273972599E-3</v>
      </c>
      <c r="G142">
        <v>0.54771764300000003</v>
      </c>
      <c r="H142">
        <v>3.7488444410991598E-2</v>
      </c>
      <c r="I142">
        <v>0</v>
      </c>
      <c r="J142">
        <v>1</v>
      </c>
      <c r="K142">
        <v>1.011914930265927E-26</v>
      </c>
      <c r="L142">
        <v>1.118478284300427E-24</v>
      </c>
      <c r="M142">
        <v>-7.4969188486121743</v>
      </c>
      <c r="N142">
        <v>0.54788892997666494</v>
      </c>
    </row>
    <row r="143" spans="1:14" x14ac:dyDescent="0.2">
      <c r="A143">
        <v>210</v>
      </c>
      <c r="B143">
        <v>61.9</v>
      </c>
      <c r="C143">
        <v>271.39999999999998</v>
      </c>
      <c r="D143" s="1">
        <v>45981</v>
      </c>
      <c r="E143" s="1">
        <v>45982</v>
      </c>
      <c r="F143">
        <v>2.7397260273972599E-3</v>
      </c>
      <c r="G143">
        <v>0.18229093699999999</v>
      </c>
      <c r="H143">
        <v>3.7488444410991598E-2</v>
      </c>
      <c r="I143">
        <v>0</v>
      </c>
      <c r="J143">
        <v>1</v>
      </c>
      <c r="K143">
        <v>1.253914370550096E-158</v>
      </c>
      <c r="L143">
        <v>4.6127485300429121E-157</v>
      </c>
      <c r="M143">
        <v>-7.871764791042783</v>
      </c>
      <c r="N143">
        <v>0.5752833764754981</v>
      </c>
    </row>
    <row r="144" spans="1:14" x14ac:dyDescent="0.2">
      <c r="A144">
        <v>215</v>
      </c>
      <c r="B144">
        <v>57.92</v>
      </c>
      <c r="C144">
        <v>271.39999999999998</v>
      </c>
      <c r="D144" s="1">
        <v>45981</v>
      </c>
      <c r="E144" s="1">
        <v>45982</v>
      </c>
      <c r="F144">
        <v>2.7397260273972599E-3</v>
      </c>
      <c r="G144">
        <v>0.62508470799999616</v>
      </c>
      <c r="H144">
        <v>3.7488444410991598E-2</v>
      </c>
      <c r="I144">
        <v>0</v>
      </c>
      <c r="J144">
        <v>0.99999999999953171</v>
      </c>
      <c r="K144">
        <v>3.8365060893527978E-13</v>
      </c>
      <c r="L144">
        <v>4.839512194802475E-11</v>
      </c>
      <c r="M144">
        <v>-8.0591877677741195</v>
      </c>
      <c r="N144">
        <v>0.58898059972456507</v>
      </c>
    </row>
    <row r="145" spans="1:14" x14ac:dyDescent="0.2">
      <c r="A145">
        <v>220</v>
      </c>
      <c r="B145">
        <v>52.01</v>
      </c>
      <c r="C145">
        <v>271.39999999999998</v>
      </c>
      <c r="D145" s="1">
        <v>45981</v>
      </c>
      <c r="E145" s="1">
        <v>45982</v>
      </c>
      <c r="F145">
        <v>2.7397260273972599E-3</v>
      </c>
      <c r="G145">
        <v>0.37479036199999999</v>
      </c>
      <c r="H145">
        <v>3.7488444410991598E-2</v>
      </c>
      <c r="I145">
        <v>0</v>
      </c>
      <c r="J145">
        <v>1</v>
      </c>
      <c r="K145">
        <v>8.4983199194964388E-27</v>
      </c>
      <c r="L145">
        <v>6.4275921614101472E-25</v>
      </c>
      <c r="M145">
        <v>-8.2466107334733927</v>
      </c>
      <c r="N145">
        <v>0.60267782297433137</v>
      </c>
    </row>
    <row r="146" spans="1:14" x14ac:dyDescent="0.2">
      <c r="A146">
        <v>225</v>
      </c>
      <c r="B146">
        <v>46.75</v>
      </c>
      <c r="C146">
        <v>271.39999999999998</v>
      </c>
      <c r="D146" s="1">
        <v>45981</v>
      </c>
      <c r="E146" s="1">
        <v>45982</v>
      </c>
      <c r="F146">
        <v>2.7397260273972599E-3</v>
      </c>
      <c r="G146">
        <v>0.1102434071208743</v>
      </c>
      <c r="H146">
        <v>3.7488444410991598E-2</v>
      </c>
      <c r="I146">
        <v>0</v>
      </c>
      <c r="J146">
        <v>1</v>
      </c>
      <c r="K146">
        <v>7.2753200157487051E-231</v>
      </c>
      <c r="L146">
        <v>1.618570237230669E-229</v>
      </c>
      <c r="M146">
        <v>-8.4340337046886962</v>
      </c>
      <c r="N146">
        <v>0.61637504622374806</v>
      </c>
    </row>
    <row r="147" spans="1:14" x14ac:dyDescent="0.2">
      <c r="A147">
        <v>235</v>
      </c>
      <c r="B147">
        <v>37.049999999999997</v>
      </c>
      <c r="C147">
        <v>271.39999999999998</v>
      </c>
      <c r="D147" s="1">
        <v>45981</v>
      </c>
      <c r="E147" s="1">
        <v>45982</v>
      </c>
      <c r="F147">
        <v>2.7397260273972599E-3</v>
      </c>
      <c r="G147">
        <v>0.27203774800000002</v>
      </c>
      <c r="H147">
        <v>3.7488444410991598E-2</v>
      </c>
      <c r="I147">
        <v>0</v>
      </c>
      <c r="J147">
        <v>1</v>
      </c>
      <c r="K147">
        <v>5.496127219012277E-24</v>
      </c>
      <c r="L147">
        <v>3.0172602406483069E-22</v>
      </c>
      <c r="M147">
        <v>-8.8088796471193032</v>
      </c>
      <c r="N147">
        <v>0.64376949272258133</v>
      </c>
    </row>
    <row r="148" spans="1:14" x14ac:dyDescent="0.2">
      <c r="A148">
        <v>240</v>
      </c>
      <c r="B148">
        <v>32.4</v>
      </c>
      <c r="C148">
        <v>271.39999999999998</v>
      </c>
      <c r="D148" s="1">
        <v>45981</v>
      </c>
      <c r="E148" s="1">
        <v>45982</v>
      </c>
      <c r="F148">
        <v>2.7397260273972599E-3</v>
      </c>
      <c r="G148">
        <v>1.752938768833693</v>
      </c>
      <c r="H148">
        <v>3.7488444410991598E-2</v>
      </c>
      <c r="I148">
        <v>0</v>
      </c>
      <c r="J148">
        <v>0.91728811861967752</v>
      </c>
      <c r="K148">
        <v>6.1221394515047229E-3</v>
      </c>
      <c r="L148">
        <v>2.1656924685514309</v>
      </c>
      <c r="M148">
        <v>-700.9477452742218</v>
      </c>
      <c r="N148">
        <v>0.59329313806404316</v>
      </c>
    </row>
    <row r="149" spans="1:14" x14ac:dyDescent="0.2">
      <c r="A149">
        <v>250</v>
      </c>
      <c r="B149">
        <v>23.1</v>
      </c>
      <c r="C149">
        <v>271.39999999999998</v>
      </c>
      <c r="D149" s="1">
        <v>45981</v>
      </c>
      <c r="E149" s="1">
        <v>45982</v>
      </c>
      <c r="F149">
        <v>2.7397260273972599E-3</v>
      </c>
      <c r="G149">
        <v>1.5375834854694379</v>
      </c>
      <c r="H149">
        <v>3.7488444410991598E-2</v>
      </c>
      <c r="I149">
        <v>0</v>
      </c>
      <c r="J149">
        <v>0.8558920556917724</v>
      </c>
      <c r="K149">
        <v>1.039153303773287E-2</v>
      </c>
      <c r="L149">
        <v>3.2243720706963379</v>
      </c>
      <c r="M149">
        <v>-912.62995165483915</v>
      </c>
      <c r="N149">
        <v>0.57312083264178348</v>
      </c>
    </row>
    <row r="150" spans="1:14" x14ac:dyDescent="0.2">
      <c r="A150">
        <v>260</v>
      </c>
      <c r="B150">
        <v>14.75</v>
      </c>
      <c r="C150">
        <v>271.39999999999998</v>
      </c>
      <c r="D150" s="1">
        <v>45981</v>
      </c>
      <c r="E150" s="1">
        <v>45982</v>
      </c>
      <c r="F150">
        <v>2.7397260273972599E-3</v>
      </c>
      <c r="G150">
        <v>1.3938557202263031</v>
      </c>
      <c r="H150">
        <v>3.7488444410991598E-2</v>
      </c>
      <c r="I150">
        <v>0</v>
      </c>
      <c r="J150">
        <v>0.73436362707670511</v>
      </c>
      <c r="K150">
        <v>1.6562143758935419E-2</v>
      </c>
      <c r="L150">
        <v>4.6586619107326337</v>
      </c>
      <c r="M150">
        <v>-1191.982944057658</v>
      </c>
      <c r="N150">
        <v>0.50563366681812305</v>
      </c>
    </row>
    <row r="151" spans="1:14" x14ac:dyDescent="0.2">
      <c r="A151">
        <v>265</v>
      </c>
      <c r="B151">
        <v>11.25</v>
      </c>
      <c r="C151">
        <v>271.39999999999998</v>
      </c>
      <c r="D151" s="1">
        <v>45981</v>
      </c>
      <c r="E151" s="1">
        <v>45982</v>
      </c>
      <c r="F151">
        <v>2.7397260273972599E-3</v>
      </c>
      <c r="G151">
        <v>1.358951274042413</v>
      </c>
      <c r="H151">
        <v>3.7488444410991598E-2</v>
      </c>
      <c r="I151">
        <v>0</v>
      </c>
      <c r="J151">
        <v>0.64524081219776674</v>
      </c>
      <c r="K151">
        <v>1.9280209413554541E-2</v>
      </c>
      <c r="L151">
        <v>5.2874034983988238</v>
      </c>
      <c r="M151">
        <v>-1317.4647487666459</v>
      </c>
      <c r="N151">
        <v>0.44895440117921792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Options</vt:lpstr>
      <vt:lpstr>Hedge Profe</vt:lpstr>
      <vt:lpstr>Hedge AAPL</vt:lpstr>
      <vt:lpstr>Options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MARQUEZ BAÑUELOS, LUIS FERNANDO</cp:lastModifiedBy>
  <dcterms:created xsi:type="dcterms:W3CDTF">2025-11-06T21:14:09Z</dcterms:created>
  <dcterms:modified xsi:type="dcterms:W3CDTF">2025-11-16T20:11:13Z</dcterms:modified>
</cp:coreProperties>
</file>